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imothy\Downloads\"/>
    </mc:Choice>
  </mc:AlternateContent>
  <xr:revisionPtr revIDLastSave="0" documentId="13_ncr:1_{C988E552-5D81-4E9D-8DAA-2FD317B1C777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START_HERE" sheetId="1" r:id="rId1"/>
    <sheet name="Raw_Production" sheetId="2" r:id="rId2"/>
    <sheet name="Pivot_Analysis" sheetId="6" r:id="rId3"/>
    <sheet name="Clean_Production." sheetId="4" r:id="rId4"/>
    <sheet name="Cleaning_Log" sheetId="5" r:id="rId5"/>
    <sheet name="Validation_Log" sheetId="7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7" l="1"/>
  <c r="F21" i="7" s="1"/>
  <c r="E20" i="7"/>
  <c r="F20" i="7" s="1"/>
  <c r="F19" i="7"/>
  <c r="E19" i="7"/>
  <c r="E18" i="7"/>
  <c r="F18" i="7" s="1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3" i="7"/>
  <c r="E3" i="7"/>
  <c r="F2" i="7"/>
  <c r="E2" i="7"/>
  <c r="D14" i="6"/>
  <c r="D15" i="6"/>
  <c r="D16" i="6"/>
  <c r="D13" i="6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</calcChain>
</file>

<file path=xl/sharedStrings.xml><?xml version="1.0" encoding="utf-8"?>
<sst xmlns="http://schemas.openxmlformats.org/spreadsheetml/2006/main" count="1370" uniqueCount="233">
  <si>
    <t>MANUFACTURING OPERATIONS &amp; PERFORMANCE ANALYTICS</t>
  </si>
  <si>
    <t>Company reference: Nestlé Ghana Limited | Excel + SQL Server</t>
  </si>
  <si>
    <t>Data notice: All production rows are SIMULATED for learning. They are not Nestlé Ghana internal records.</t>
  </si>
  <si>
    <t>Public context: Use Nestlé Central &amp; West Africa official pages to verify any company facts cited in your project.</t>
  </si>
  <si>
    <t>WORKFLOW</t>
  </si>
  <si>
    <t>1. Raw_Production: preserve the original simulated records.</t>
  </si>
  <si>
    <t>2. Clean_Production: create a cleaned copy and document decisions.</t>
  </si>
  <si>
    <t>3. Calculations: calculate achievement, defect rate, material variance and total production cost.</t>
  </si>
  <si>
    <t>4. Pivot_Analysis: compare product, line and shift performance.</t>
  </si>
  <si>
    <t>5. Dashboard: present production KPIs and charts.</t>
  </si>
  <si>
    <t>6. Management_Report: summarise evidence-based findings and recommendations.</t>
  </si>
  <si>
    <t>7. SQL: import the CSV into SQL Server and run the provided queries.</t>
  </si>
  <si>
    <t>Suggested title: Manufacturing Operations &amp; Performance Analytics: An Advanced Excel Case Study Inspired by Nestlé Ghana.</t>
  </si>
  <si>
    <t>Currency: GH₵. Costs are simulated illustrative values, not Nestlé's actual prices or costs.</t>
  </si>
  <si>
    <t>First task: inspect missing values, inconsistent categories and duplicate records in Raw_Production.</t>
  </si>
  <si>
    <t>Production_ID</t>
  </si>
  <si>
    <t>Production_Date</t>
  </si>
  <si>
    <t>Product</t>
  </si>
  <si>
    <t>Product_Category</t>
  </si>
  <si>
    <t>Production_Line</t>
  </si>
  <si>
    <t>Shift</t>
  </si>
  <si>
    <t>Planned_Units</t>
  </si>
  <si>
    <t>Actual_Units</t>
  </si>
  <si>
    <t>Defective_Units</t>
  </si>
  <si>
    <t>Raw_Material_Used_kg</t>
  </si>
  <si>
    <t>Standard_Material_kg</t>
  </si>
  <si>
    <t>Downtime_Minutes</t>
  </si>
  <si>
    <t>Material_Cost_GHc</t>
  </si>
  <si>
    <t>Labour_Cost_GHc</t>
  </si>
  <si>
    <t>Overhead_Cost_GHc</t>
  </si>
  <si>
    <t>PRD-0001</t>
  </si>
  <si>
    <t>IDEAL Milk</t>
  </si>
  <si>
    <t>Evaporated Milk</t>
  </si>
  <si>
    <t>Line A</t>
  </si>
  <si>
    <t>Afternoon</t>
  </si>
  <si>
    <t>PRD-0002</t>
  </si>
  <si>
    <t>Nescafe 3-in-1</t>
  </si>
  <si>
    <t>Coffee Mix</t>
  </si>
  <si>
    <t>Line B</t>
  </si>
  <si>
    <t>Morning</t>
  </si>
  <si>
    <t>PRD-0003</t>
  </si>
  <si>
    <t>Night</t>
  </si>
  <si>
    <t>PRD-0004</t>
  </si>
  <si>
    <t>Line C</t>
  </si>
  <si>
    <t>PRD-0005</t>
  </si>
  <si>
    <t>MILO</t>
  </si>
  <si>
    <t>Beverage Powder</t>
  </si>
  <si>
    <t>PRD-0006</t>
  </si>
  <si>
    <t>CERELAC</t>
  </si>
  <si>
    <t>Infant Cereal</t>
  </si>
  <si>
    <t>PRD-0007</t>
  </si>
  <si>
    <t>PRD-0008</t>
  </si>
  <si>
    <t>PRD-0009</t>
  </si>
  <si>
    <t>PRD-0010</t>
  </si>
  <si>
    <t>PRD-0011</t>
  </si>
  <si>
    <t>PRD-0012</t>
  </si>
  <si>
    <t>PRD-0013</t>
  </si>
  <si>
    <t>PRD-0014</t>
  </si>
  <si>
    <t>PRD-0015</t>
  </si>
  <si>
    <t>PRD-0016</t>
  </si>
  <si>
    <t>PRD-0017</t>
  </si>
  <si>
    <t>PRD-0018</t>
  </si>
  <si>
    <t>PRD-0019</t>
  </si>
  <si>
    <t>PRD-0020</t>
  </si>
  <si>
    <t>PRD-0021</t>
  </si>
  <si>
    <t>PRD-0022</t>
  </si>
  <si>
    <t>PRD-0023</t>
  </si>
  <si>
    <t>PRD-0024</t>
  </si>
  <si>
    <t>PRD-0025</t>
  </si>
  <si>
    <t>PRD-0026</t>
  </si>
  <si>
    <t>PRD-0027</t>
  </si>
  <si>
    <t>PRD-0028</t>
  </si>
  <si>
    <t>PRD-0029</t>
  </si>
  <si>
    <t>PRD-0030</t>
  </si>
  <si>
    <t>milo</t>
  </si>
  <si>
    <t>PRD-0031</t>
  </si>
  <si>
    <t>PRD-0032</t>
  </si>
  <si>
    <t>PRD-0033</t>
  </si>
  <si>
    <t>PRD-0034</t>
  </si>
  <si>
    <t>PRD-0035</t>
  </si>
  <si>
    <t>PRD-0036</t>
  </si>
  <si>
    <t>PRD-0037</t>
  </si>
  <si>
    <t>PRD-0038</t>
  </si>
  <si>
    <t>PRD-0039</t>
  </si>
  <si>
    <t>PRD-0040</t>
  </si>
  <si>
    <t>PRD-0041</t>
  </si>
  <si>
    <t>PRD-0042</t>
  </si>
  <si>
    <t>PRD-0043</t>
  </si>
  <si>
    <t>PRD-0044</t>
  </si>
  <si>
    <t>PRD-0045</t>
  </si>
  <si>
    <t>PRD-0046</t>
  </si>
  <si>
    <t>PRD-0047</t>
  </si>
  <si>
    <t>PRD-0048</t>
  </si>
  <si>
    <t>PRD-0049</t>
  </si>
  <si>
    <t>PRD-0050</t>
  </si>
  <si>
    <t>PRD-0051</t>
  </si>
  <si>
    <t>PRD-0052</t>
  </si>
  <si>
    <t>PRD-0053</t>
  </si>
  <si>
    <t>PRD-0054</t>
  </si>
  <si>
    <t>PRD-0055</t>
  </si>
  <si>
    <t>PRD-0056</t>
  </si>
  <si>
    <t>PRD-0057</t>
  </si>
  <si>
    <t>PRD-0058</t>
  </si>
  <si>
    <t>PRD-0059</t>
  </si>
  <si>
    <t>PRD-0060</t>
  </si>
  <si>
    <t>PRD-0061</t>
  </si>
  <si>
    <t>PRD-0062</t>
  </si>
  <si>
    <t>PRD-0063</t>
  </si>
  <si>
    <t>PRD-0064</t>
  </si>
  <si>
    <t>PRD-0065</t>
  </si>
  <si>
    <t>PRD-0066</t>
  </si>
  <si>
    <t>PRD-0067</t>
  </si>
  <si>
    <t>PRD-0068</t>
  </si>
  <si>
    <t>PRD-0069</t>
  </si>
  <si>
    <t>PRD-0070</t>
  </si>
  <si>
    <t>PRD-0072</t>
  </si>
  <si>
    <t>PRD-0073</t>
  </si>
  <si>
    <t>PRD-0074</t>
  </si>
  <si>
    <t>PRD-0075</t>
  </si>
  <si>
    <t>PRD-0076</t>
  </si>
  <si>
    <t>PRD-0077</t>
  </si>
  <si>
    <t>PRD-0078</t>
  </si>
  <si>
    <t>PRD-0079</t>
  </si>
  <si>
    <t>PRD-0080</t>
  </si>
  <si>
    <t>PRD-0081</t>
  </si>
  <si>
    <t>PRD-0082</t>
  </si>
  <si>
    <t>PRD-0083</t>
  </si>
  <si>
    <t>PRD-0084</t>
  </si>
  <si>
    <t>PRD-0085</t>
  </si>
  <si>
    <t>PRD-0086</t>
  </si>
  <si>
    <t>PRD-0087</t>
  </si>
  <si>
    <t>PRD-0088</t>
  </si>
  <si>
    <t>PRD-0089</t>
  </si>
  <si>
    <t>PRD-0090</t>
  </si>
  <si>
    <t>PRD-0091</t>
  </si>
  <si>
    <t>PRD-0092</t>
  </si>
  <si>
    <t>PRD-0093</t>
  </si>
  <si>
    <t>PRD-0094</t>
  </si>
  <si>
    <t>PRD-0095</t>
  </si>
  <si>
    <t>PRD-0096</t>
  </si>
  <si>
    <t>PRD-0097</t>
  </si>
  <si>
    <t>PRD-0098</t>
  </si>
  <si>
    <t>PRD-0099</t>
  </si>
  <si>
    <t>PRD-0100</t>
  </si>
  <si>
    <t>PRD-0101</t>
  </si>
  <si>
    <t>PRD-0102</t>
  </si>
  <si>
    <t>PRD-0103</t>
  </si>
  <si>
    <t>PRD-0104</t>
  </si>
  <si>
    <t>PRD-0105</t>
  </si>
  <si>
    <t>PRD-0106</t>
  </si>
  <si>
    <t>PRD-0107</t>
  </si>
  <si>
    <t>PRD-0108</t>
  </si>
  <si>
    <t>PRD-0109</t>
  </si>
  <si>
    <t>PRD-0110</t>
  </si>
  <si>
    <t>PRD-0111</t>
  </si>
  <si>
    <t>PRD-0112</t>
  </si>
  <si>
    <t>PRD-0113</t>
  </si>
  <si>
    <t>PRD-0114</t>
  </si>
  <si>
    <t>PRD-0115</t>
  </si>
  <si>
    <t>PRD-0116</t>
  </si>
  <si>
    <t>PRD-0117</t>
  </si>
  <si>
    <t>PRD-0118</t>
  </si>
  <si>
    <t>PRD-0119</t>
  </si>
  <si>
    <t>PRD-0120</t>
  </si>
  <si>
    <t>Issue</t>
  </si>
  <si>
    <t>Action taken</t>
  </si>
  <si>
    <t>Reason</t>
  </si>
  <si>
    <t>Records affected</t>
  </si>
  <si>
    <t>Duplicate records</t>
  </si>
  <si>
    <t>Avoid double-counting</t>
  </si>
  <si>
    <t>Inconsistent product names</t>
  </si>
  <si>
    <t>Missing shift</t>
  </si>
  <si>
    <t>Shift comparisons require shift information</t>
  </si>
  <si>
    <t>Missing actual units</t>
  </si>
  <si>
    <t>Production KPIs require actual output</t>
  </si>
  <si>
    <t>Missing raw-material usage</t>
  </si>
  <si>
    <t>Material analysis requires usage information</t>
  </si>
  <si>
    <t xml:space="preserve"> </t>
  </si>
  <si>
    <t>Data_Quality_Status</t>
  </si>
  <si>
    <t>Consistent product grouping</t>
  </si>
  <si>
    <t>Removed confirmed duplicate</t>
  </si>
  <si>
    <t>Standardised products labels eg, milo to MILO</t>
  </si>
  <si>
    <t>Retained and documented</t>
  </si>
  <si>
    <t>Achievement_Pct</t>
  </si>
  <si>
    <t>Production_Gap_Units</t>
  </si>
  <si>
    <t>Defect_Rate_Pct</t>
  </si>
  <si>
    <t>Material_Variance_kg</t>
  </si>
  <si>
    <t>Total_Cost_GHc</t>
  </si>
  <si>
    <t>Cost_Per_Good_Unit_GHc</t>
  </si>
  <si>
    <t>Row Labels</t>
  </si>
  <si>
    <t>Grand Total</t>
  </si>
  <si>
    <t>Sum of Planned_Units</t>
  </si>
  <si>
    <t>Sum of Actual_Units</t>
  </si>
  <si>
    <t>Sum of Defective_Units</t>
  </si>
  <si>
    <t>Defect Rate</t>
  </si>
  <si>
    <t>(blank)</t>
  </si>
  <si>
    <t>Sum of Downtime_Minutes</t>
  </si>
  <si>
    <t>Sum of Material_Cost_GHc</t>
  </si>
  <si>
    <t>Sum of Labour_Cost_GHc</t>
  </si>
  <si>
    <t>Sum of Overhead_Cost_GHc</t>
  </si>
  <si>
    <t>KPI</t>
  </si>
  <si>
    <t>Category</t>
  </si>
  <si>
    <t>Excel Result</t>
  </si>
  <si>
    <t>SQL Result</t>
  </si>
  <si>
    <t>Difference (SQL - Excel)</t>
  </si>
  <si>
    <t>Validation Status</t>
  </si>
  <si>
    <t>Explanation / Follow-up</t>
  </si>
  <si>
    <t>Production achievement</t>
  </si>
  <si>
    <t>Overall</t>
  </si>
  <si>
    <t>Investigate difference: check planned and actual production totals, eligible records, and calculation method.</t>
  </si>
  <si>
    <t>Both reported results agree; confirm the same eligible records were used.</t>
  </si>
  <si>
    <t>Pending</t>
  </si>
  <si>
    <t>Excel product-level achievement needs confirmation from the Excel formula/PivotTable before calculating the difference.</t>
  </si>
  <si>
    <t>Defect rate</t>
  </si>
  <si>
    <t>Both reported results agree.</t>
  </si>
  <si>
    <t>Investigate: check defective-unit and actual-unit totals and valid quality records for Line B.</t>
  </si>
  <si>
    <t>Investigate: check defective-unit and actual-unit totals and valid quality records for Line C.</t>
  </si>
  <si>
    <t>Downtime</t>
  </si>
  <si>
    <t>Morning (minutes)</t>
  </si>
  <si>
    <t>Both results agree.</t>
  </si>
  <si>
    <t>Night (minutes)</t>
  </si>
  <si>
    <t>Afternoon (minutes)</t>
  </si>
  <si>
    <t>Both results agree. Excel also has 60 minutes with a missing shift value; document separately.</t>
  </si>
  <si>
    <t>Missing shift (minutes)</t>
  </si>
  <si>
    <t>Excel shows 60 unassigned minutes. Confirm how SQL handles rows with missing shift values.</t>
  </si>
  <si>
    <t>Material variance</t>
  </si>
  <si>
    <t>Enter the Excel material variance to calculate the difference; check eligible records and variance formula.</t>
  </si>
  <si>
    <t>Recorded cost</t>
  </si>
  <si>
    <t>MILO (GH¢)</t>
  </si>
  <si>
    <t>Values agree to two decimal places; small difference is due to precision/rounding.</t>
  </si>
  <si>
    <t>Nescafe 3-in-1 (GH¢)</t>
  </si>
  <si>
    <t>CERELAC (GH¢)</t>
  </si>
  <si>
    <t>IDEAL Milk (GH¢)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</si>
</sst>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&quot;GH₵&quot;\ #,##0.00"/>
    <numFmt numFmtId="166" formatCode="0.00&quot;%&quot;\ ;[Red]\-0.00&quot;%&quot;"/>
    <numFmt numFmtId="167" formatCode="#,##0.0000;[Red]\-#,##0.0000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17365D"/>
      <name val="Calibri"/>
      <family val="2"/>
    </font>
    <font>
      <b/>
      <sz val="10"/>
      <color rgb="FF17365D"/>
      <name val="Calibri"/>
      <family val="2"/>
    </font>
    <font>
      <sz val="10"/>
      <color theme="1"/>
      <name val="Arial Unicode MS"/>
    </font>
    <font>
      <sz val="14"/>
      <color theme="0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 Unicode MS"/>
    </font>
    <font>
      <b/>
      <sz val="12"/>
      <color rgb="FFFFFF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/>
    <xf numFmtId="10" fontId="4" fillId="0" borderId="0" xfId="0" applyNumberFormat="1" applyFont="1"/>
    <xf numFmtId="2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7" fillId="4" borderId="0" xfId="0" applyFont="1" applyFill="1"/>
    <xf numFmtId="0" fontId="8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166" fontId="6" fillId="0" borderId="2" xfId="0" applyNumberFormat="1" applyFont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40" fontId="6" fillId="0" borderId="2" xfId="0" applyNumberFormat="1" applyFont="1" applyBorder="1" applyAlignment="1">
      <alignment vertical="top" wrapText="1"/>
    </xf>
    <xf numFmtId="167" fontId="6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othy" refreshedDate="46315.940179282406" createdVersion="8" refreshedVersion="8" minRefreshableVersion="3" recordCount="119" xr:uid="{EB2130ED-19D2-4549-AADB-23CA948E71FA}">
  <cacheSource type="worksheet">
    <worksheetSource name="tblClean"/>
  </cacheSource>
  <cacheFields count="22">
    <cacheField name="Production_ID" numFmtId="0">
      <sharedItems/>
    </cacheField>
    <cacheField name="Production_Date" numFmtId="164">
      <sharedItems containsSemiMixedTypes="0" containsNonDate="0" containsDate="1" containsString="0" minDate="2026-09-01T00:00:00" maxDate="2026-10-01T00:00:00"/>
    </cacheField>
    <cacheField name="Product" numFmtId="0">
      <sharedItems count="4">
        <s v="IDEAL Milk"/>
        <s v="Nescafe 3-in-1"/>
        <s v="MILO"/>
        <s v="CERELAC"/>
      </sharedItems>
    </cacheField>
    <cacheField name="Product_Category" numFmtId="0">
      <sharedItems/>
    </cacheField>
    <cacheField name="Production_Line" numFmtId="0">
      <sharedItems count="3">
        <s v="Line A"/>
        <s v="Line B"/>
        <s v="Line C"/>
      </sharedItems>
    </cacheField>
    <cacheField name="Shift" numFmtId="0">
      <sharedItems containsBlank="1" count="4">
        <s v="Afternoon"/>
        <s v="Morning"/>
        <s v="Night"/>
        <m/>
      </sharedItems>
    </cacheField>
    <cacheField name="Planned_Units" numFmtId="0">
      <sharedItems containsSemiMixedTypes="0" containsString="0" containsNumber="1" containsInteger="1" minValue="800" maxValue="1300"/>
    </cacheField>
    <cacheField name="Actual_Units" numFmtId="0">
      <sharedItems containsString="0" containsBlank="1" containsNumber="1" containsInteger="1" minValue="583" maxValue="1396"/>
    </cacheField>
    <cacheField name="Defective_Units" numFmtId="0">
      <sharedItems containsSemiMixedTypes="0" containsString="0" containsNumber="1" containsInteger="1" minValue="4" maxValue="63"/>
    </cacheField>
    <cacheField name="Raw_Material_Used_kg" numFmtId="2">
      <sharedItems containsString="0" containsBlank="1" containsNumber="1" minValue="55.46" maxValue="161.66999999999999"/>
    </cacheField>
    <cacheField name="Standard_Material_kg" numFmtId="2">
      <sharedItems containsSemiMixedTypes="0" containsString="0" containsNumber="1" minValue="65.03" maxValue="142.52000000000001"/>
    </cacheField>
    <cacheField name="Downtime_Minutes" numFmtId="0">
      <sharedItems containsSemiMixedTypes="0" containsString="0" containsNumber="1" containsInteger="1" minValue="0" maxValue="75"/>
    </cacheField>
    <cacheField name="Material_Cost_GHc" numFmtId="165">
      <sharedItems containsSemiMixedTypes="0" containsString="0" containsNumber="1" minValue="1719.26" maxValue="6466.8"/>
    </cacheField>
    <cacheField name="Labour_Cost_GHc" numFmtId="165">
      <sharedItems containsSemiMixedTypes="0" containsString="0" containsNumber="1" containsInteger="1" minValue="250" maxValue="500"/>
    </cacheField>
    <cacheField name="Overhead_Cost_GHc" numFmtId="165">
      <sharedItems containsSemiMixedTypes="0" containsString="0" containsNumber="1" containsInteger="1" minValue="180" maxValue="300"/>
    </cacheField>
    <cacheField name="Data_Quality_Status" numFmtId="0">
      <sharedItems/>
    </cacheField>
    <cacheField name="Achievement_Pct" numFmtId="10">
      <sharedItems containsSemiMixedTypes="0" containsString="0" containsNumber="1" minValue="0" maxValue="1.0774999999999999"/>
    </cacheField>
    <cacheField name="Production_Gap_Units" numFmtId="0">
      <sharedItems containsMixedTypes="1" containsNumber="1" containsInteger="1" minValue="-348" maxValue="96"/>
    </cacheField>
    <cacheField name="Defect_Rate_Pct" numFmtId="10">
      <sharedItems containsMixedTypes="1" containsNumber="1" minValue="5.3705692803437165E-3" maxValue="5.4655870445344132E-2"/>
    </cacheField>
    <cacheField name="Material_Variance_kg" numFmtId="2">
      <sharedItems containsMixedTypes="1" containsNumber="1" minValue="-52.690000000000012" maxValue="54.800000000000011"/>
    </cacheField>
    <cacheField name="Total_Cost_GHc" numFmtId="2">
      <sharedItems containsSemiMixedTypes="0" containsString="0" containsNumber="1" minValue="2319.2600000000002" maxValue="7016.8"/>
    </cacheField>
    <cacheField name="Cost_Per_Good_Unit_GHc" numFmtId="2">
      <sharedItems containsMixedTypes="1" containsNumber="1" minValue="2.7047718773373224" maxValue="6.12535211267605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PRD-0001"/>
    <d v="2026-09-19T00:00:00"/>
    <x v="0"/>
    <s v="Evaporated Milk"/>
    <x v="0"/>
    <x v="0"/>
    <n v="1300"/>
    <n v="1382"/>
    <n v="22"/>
    <n v="144.63999999999999"/>
    <n v="114.41"/>
    <n v="5"/>
    <n v="4049.92"/>
    <n v="500"/>
    <n v="275"/>
    <s v="OK"/>
    <n v="1.063076923076923"/>
    <n v="82"/>
    <n v="1.5918958031837915E-2"/>
    <n v="30.22999999999999"/>
    <n v="4824.92"/>
    <n v="3.547735294117647"/>
  </r>
  <r>
    <s v="PRD-0002"/>
    <d v="2026-09-10T00:00:00"/>
    <x v="1"/>
    <s v="Coffee Mix"/>
    <x v="1"/>
    <x v="1"/>
    <n v="1300"/>
    <n v="1382"/>
    <n v="45"/>
    <n v="109.51"/>
    <n v="119.01"/>
    <n v="45"/>
    <n v="3066.28"/>
    <n v="300"/>
    <n v="250"/>
    <s v="OK"/>
    <n v="1.063076923076923"/>
    <n v="82"/>
    <n v="3.2561505065123009E-2"/>
    <n v="-9.5"/>
    <n v="3616.28"/>
    <n v="2.7047718773373224"/>
  </r>
  <r>
    <s v="PRD-0003"/>
    <d v="2026-09-30T00:00:00"/>
    <x v="0"/>
    <s v="Evaporated Milk"/>
    <x v="0"/>
    <x v="2"/>
    <n v="800"/>
    <n v="820"/>
    <n v="40"/>
    <n v="102.55"/>
    <n v="70.45"/>
    <n v="0"/>
    <n v="3486.7"/>
    <n v="450"/>
    <n v="180"/>
    <s v="OK"/>
    <n v="1.0249999999999999"/>
    <n v="20"/>
    <n v="4.878048780487805E-2"/>
    <n v="32.099999999999994"/>
    <n v="4116.7"/>
    <n v="5.2778205128205125"/>
  </r>
  <r>
    <s v="PRD-0004"/>
    <d v="2026-09-30T00:00:00"/>
    <x v="1"/>
    <s v="Coffee Mix"/>
    <x v="2"/>
    <x v="0"/>
    <n v="800"/>
    <n v="797"/>
    <n v="18"/>
    <n v="100.6"/>
    <n v="75.739999999999995"/>
    <n v="60"/>
    <n v="3420.4"/>
    <n v="350"/>
    <n v="225"/>
    <s v="OK"/>
    <n v="0.99624999999999997"/>
    <n v="-3"/>
    <n v="2.258469259723965E-2"/>
    <n v="24.86"/>
    <n v="3995.4"/>
    <n v="5.1288831835686777"/>
  </r>
  <r>
    <s v="PRD-0005"/>
    <d v="2026-09-20T00:00:00"/>
    <x v="2"/>
    <s v="Beverage Powder"/>
    <x v="0"/>
    <x v="0"/>
    <n v="1300"/>
    <n v="1264"/>
    <n v="38"/>
    <n v="127.44"/>
    <n v="113.26"/>
    <n v="0"/>
    <n v="4332.96"/>
    <n v="350"/>
    <n v="275"/>
    <s v="OK"/>
    <n v="0.97230769230769232"/>
    <n v="-36"/>
    <n v="3.0063291139240507E-2"/>
    <n v="14.179999999999993"/>
    <n v="4957.96"/>
    <n v="4.0440130505709622"/>
  </r>
  <r>
    <s v="PRD-0006"/>
    <d v="2026-09-30T00:00:00"/>
    <x v="3"/>
    <s v="Infant Cereal"/>
    <x v="2"/>
    <x v="2"/>
    <n v="800"/>
    <n v="746"/>
    <n v="30"/>
    <n v="94.78"/>
    <n v="73.3"/>
    <n v="15"/>
    <n v="2653.84"/>
    <n v="350"/>
    <n v="180"/>
    <s v="OK"/>
    <n v="0.9325"/>
    <n v="-54"/>
    <n v="4.0214477211796246E-2"/>
    <n v="21.480000000000004"/>
    <n v="3183.84"/>
    <n v="4.4467039106145254"/>
  </r>
  <r>
    <s v="PRD-0007"/>
    <d v="2026-09-17T00:00:00"/>
    <x v="1"/>
    <s v="Coffee Mix"/>
    <x v="2"/>
    <x v="3"/>
    <n v="1300"/>
    <n v="1013"/>
    <n v="46"/>
    <n v="107.91"/>
    <n v="138.51"/>
    <n v="60"/>
    <n v="3668.94"/>
    <n v="300"/>
    <n v="225"/>
    <s v="Review"/>
    <n v="0.77923076923076928"/>
    <n v="-287"/>
    <n v="4.5409674234945706E-2"/>
    <n v="-30.599999999999994"/>
    <n v="4193.9400000000005"/>
    <n v="4.337063081695967"/>
  </r>
  <r>
    <s v="PRD-0008"/>
    <d v="2026-09-16T00:00:00"/>
    <x v="2"/>
    <s v="Beverage Powder"/>
    <x v="1"/>
    <x v="1"/>
    <n v="1000"/>
    <n v="947"/>
    <n v="19"/>
    <n v="107.94"/>
    <n v="104.46"/>
    <n v="15"/>
    <n v="4317.6000000000004"/>
    <n v="400"/>
    <n v="225"/>
    <s v="OK"/>
    <n v="0.94699999999999995"/>
    <n v="-53"/>
    <n v="2.0063357972544878E-2"/>
    <n v="3.480000000000004"/>
    <n v="4942.6000000000004"/>
    <n v="5.326077586206897"/>
  </r>
  <r>
    <s v="PRD-0009"/>
    <d v="2026-09-28T00:00:00"/>
    <x v="2"/>
    <s v="Beverage Powder"/>
    <x v="1"/>
    <x v="1"/>
    <n v="1000"/>
    <n v="735"/>
    <n v="27"/>
    <n v="67.97"/>
    <n v="96.83"/>
    <n v="60"/>
    <n v="1903.16"/>
    <n v="400"/>
    <n v="250"/>
    <s v="OK"/>
    <n v="0.73499999999999999"/>
    <n v="-265"/>
    <n v="3.6734693877551024E-2"/>
    <n v="-28.86"/>
    <n v="2553.16"/>
    <n v="3.6061581920903953"/>
  </r>
  <r>
    <s v="PRD-0010"/>
    <d v="2026-09-10T00:00:00"/>
    <x v="1"/>
    <s v="Coffee Mix"/>
    <x v="1"/>
    <x v="1"/>
    <n v="900"/>
    <n v="835"/>
    <n v="15"/>
    <n v="78.92"/>
    <n v="73.819999999999993"/>
    <n v="0"/>
    <n v="2683.28"/>
    <n v="350"/>
    <n v="225"/>
    <s v="OK"/>
    <n v="0.92777777777777781"/>
    <n v="-65"/>
    <n v="1.7964071856287425E-2"/>
    <n v="5.1000000000000085"/>
    <n v="3258.28"/>
    <n v="3.9735121951219514"/>
  </r>
  <r>
    <s v="PRD-0011"/>
    <d v="2026-09-08T00:00:00"/>
    <x v="3"/>
    <s v="Infant Cereal"/>
    <x v="0"/>
    <x v="1"/>
    <n v="900"/>
    <n v="960"/>
    <n v="35"/>
    <n v="90.08"/>
    <n v="86.85"/>
    <n v="5"/>
    <n v="3332.96"/>
    <n v="450"/>
    <n v="180"/>
    <s v="OK"/>
    <n v="1.0666666666666667"/>
    <n v="60"/>
    <n v="3.6458333333333336E-2"/>
    <n v="3.230000000000004"/>
    <n v="3962.96"/>
    <n v="4.2842810810810814"/>
  </r>
  <r>
    <s v="PRD-0012"/>
    <d v="2026-09-27T00:00:00"/>
    <x v="1"/>
    <s v="Coffee Mix"/>
    <x v="0"/>
    <x v="1"/>
    <n v="800"/>
    <n v="759"/>
    <n v="11"/>
    <n v="83.88"/>
    <n v="72.709999999999994"/>
    <n v="20"/>
    <n v="2348.64"/>
    <n v="450"/>
    <n v="180"/>
    <s v="OK"/>
    <n v="0.94874999999999998"/>
    <n v="-41"/>
    <n v="1.4492753623188406E-2"/>
    <n v="11.170000000000002"/>
    <n v="2978.64"/>
    <n v="3.9821390374331549"/>
  </r>
  <r>
    <s v="PRD-0013"/>
    <d v="2026-09-03T00:00:00"/>
    <x v="2"/>
    <s v="Beverage Powder"/>
    <x v="0"/>
    <x v="2"/>
    <n v="800"/>
    <n v="701"/>
    <n v="27"/>
    <n v="82.36"/>
    <n v="79.83"/>
    <n v="45"/>
    <n v="3294.4"/>
    <n v="400"/>
    <n v="275"/>
    <s v="OK"/>
    <n v="0.87624999999999997"/>
    <n v="-99"/>
    <n v="3.8516405135520682E-2"/>
    <n v="2.5300000000000011"/>
    <n v="3969.4"/>
    <n v="5.8893175074183981"/>
  </r>
  <r>
    <s v="PRD-0014"/>
    <d v="2026-09-25T00:00:00"/>
    <x v="0"/>
    <s v="Evaporated Milk"/>
    <x v="0"/>
    <x v="0"/>
    <n v="1200"/>
    <n v="1103"/>
    <n v="30"/>
    <n v="137.81"/>
    <n v="101.96"/>
    <n v="5"/>
    <n v="5098.97"/>
    <n v="300"/>
    <n v="225"/>
    <s v="OK"/>
    <n v="0.91916666666666669"/>
    <n v="-97"/>
    <n v="2.7198549410698096E-2"/>
    <n v="35.850000000000009"/>
    <n v="5623.97"/>
    <n v="5.2413513513513514"/>
  </r>
  <r>
    <s v="PRD-0015"/>
    <d v="2026-09-18T00:00:00"/>
    <x v="0"/>
    <s v="Evaporated Milk"/>
    <x v="2"/>
    <x v="1"/>
    <n v="1200"/>
    <n v="1257"/>
    <n v="46"/>
    <n v="101.41"/>
    <n v="97"/>
    <n v="10"/>
    <n v="3447.94"/>
    <n v="350"/>
    <n v="200"/>
    <s v="OK"/>
    <n v="1.0475000000000001"/>
    <n v="57"/>
    <n v="3.6595067621320608E-2"/>
    <n v="4.4099999999999966"/>
    <n v="3997.94"/>
    <n v="3.3013542526837325"/>
  </r>
  <r>
    <s v="PRD-0016"/>
    <d v="2026-09-05T00:00:00"/>
    <x v="3"/>
    <s v="Infant Cereal"/>
    <x v="0"/>
    <x v="0"/>
    <n v="1200"/>
    <n v="1265"/>
    <n v="63"/>
    <n v="161.66999999999999"/>
    <n v="118.02"/>
    <n v="45"/>
    <n v="6466.8"/>
    <n v="250"/>
    <n v="300"/>
    <s v="OK"/>
    <n v="1.0541666666666667"/>
    <n v="65"/>
    <n v="4.9802371541501973E-2"/>
    <n v="43.649999999999991"/>
    <n v="7016.8"/>
    <n v="5.8376039933444259"/>
  </r>
  <r>
    <s v="PRD-0017"/>
    <d v="2026-09-22T00:00:00"/>
    <x v="2"/>
    <s v="Beverage Powder"/>
    <x v="0"/>
    <x v="0"/>
    <n v="1000"/>
    <n v="733"/>
    <n v="29"/>
    <n v="72.64"/>
    <n v="107.3"/>
    <n v="15"/>
    <n v="2687.68"/>
    <n v="400"/>
    <n v="300"/>
    <s v="OK"/>
    <n v="0.73299999999999998"/>
    <n v="-267"/>
    <n v="3.9563437926330151E-2"/>
    <n v="-34.659999999999997"/>
    <n v="3387.68"/>
    <n v="4.8120454545454541"/>
  </r>
  <r>
    <s v="PRD-0018"/>
    <d v="2026-09-02T00:00:00"/>
    <x v="0"/>
    <s v="Evaporated Milk"/>
    <x v="2"/>
    <x v="0"/>
    <n v="1300"/>
    <n v="1369"/>
    <n v="48"/>
    <n v="118.3"/>
    <n v="128.34"/>
    <n v="5"/>
    <n v="4022.2"/>
    <n v="350"/>
    <n v="250"/>
    <s v="OK"/>
    <n v="1.053076923076923"/>
    <n v="69"/>
    <n v="3.5062089116143169E-2"/>
    <n v="-10.040000000000006"/>
    <n v="4622.2"/>
    <n v="3.4990158970476912"/>
  </r>
  <r>
    <s v="PRD-0019"/>
    <d v="2026-09-17T00:00:00"/>
    <x v="0"/>
    <s v="Evaporated Milk"/>
    <x v="2"/>
    <x v="1"/>
    <n v="1200"/>
    <m/>
    <n v="41"/>
    <n v="128.13999999999999"/>
    <n v="112.63"/>
    <n v="10"/>
    <n v="3587.92"/>
    <n v="500"/>
    <n v="275"/>
    <s v="Review"/>
    <n v="0"/>
    <s v=""/>
    <s v=""/>
    <n v="15.509999999999991"/>
    <n v="4362.92"/>
    <s v=""/>
  </r>
  <r>
    <s v="PRD-0020"/>
    <d v="2026-09-11T00:00:00"/>
    <x v="3"/>
    <s v="Infant Cereal"/>
    <x v="2"/>
    <x v="0"/>
    <n v="1300"/>
    <n v="988"/>
    <n v="31"/>
    <n v="122.74"/>
    <n v="104.2"/>
    <n v="45"/>
    <n v="4173.16"/>
    <n v="450"/>
    <n v="275"/>
    <s v="OK"/>
    <n v="0.76"/>
    <n v="-312"/>
    <n v="3.137651821862348E-2"/>
    <n v="18.539999999999992"/>
    <n v="4898.16"/>
    <n v="5.1182445141065829"/>
  </r>
  <r>
    <s v="PRD-0021"/>
    <d v="2026-09-17T00:00:00"/>
    <x v="1"/>
    <s v="Coffee Mix"/>
    <x v="1"/>
    <x v="1"/>
    <n v="1200"/>
    <n v="927"/>
    <n v="46"/>
    <n v="103.55"/>
    <n v="111.52"/>
    <n v="10"/>
    <n v="2899.4"/>
    <n v="250"/>
    <n v="225"/>
    <s v="OK"/>
    <n v="0.77249999999999996"/>
    <n v="-273"/>
    <n v="4.9622437971952538E-2"/>
    <n v="-7.9699999999999989"/>
    <n v="3374.4"/>
    <n v="3.8301929625425655"/>
  </r>
  <r>
    <s v="PRD-0022"/>
    <d v="2026-09-12T00:00:00"/>
    <x v="1"/>
    <s v="Coffee Mix"/>
    <x v="2"/>
    <x v="2"/>
    <n v="1000"/>
    <n v="813"/>
    <n v="14"/>
    <n v="101.78"/>
    <n v="88.99"/>
    <n v="30"/>
    <n v="2849.84"/>
    <n v="300"/>
    <n v="300"/>
    <s v="OK"/>
    <n v="0.81299999999999994"/>
    <n v="-187"/>
    <n v="1.7220172201722016E-2"/>
    <n v="12.790000000000006"/>
    <n v="3449.84"/>
    <n v="4.3176971214017525"/>
  </r>
  <r>
    <s v="PRD-0023"/>
    <d v="2026-09-17T00:00:00"/>
    <x v="3"/>
    <s v="Infant Cereal"/>
    <x v="0"/>
    <x v="2"/>
    <n v="1300"/>
    <n v="1396"/>
    <n v="38"/>
    <n v="157.08000000000001"/>
    <n v="119.3"/>
    <n v="75"/>
    <n v="5340.72"/>
    <n v="300"/>
    <n v="275"/>
    <s v="OK"/>
    <n v="1.0738461538461539"/>
    <n v="96"/>
    <n v="2.7220630372492838E-2"/>
    <n v="37.780000000000015"/>
    <n v="5915.72"/>
    <n v="4.3562002945508098"/>
  </r>
  <r>
    <s v="PRD-0024"/>
    <d v="2026-09-03T00:00:00"/>
    <x v="0"/>
    <s v="Evaporated Milk"/>
    <x v="0"/>
    <x v="1"/>
    <n v="1300"/>
    <n v="1282"/>
    <n v="63"/>
    <n v="139.96"/>
    <n v="120.48"/>
    <n v="20"/>
    <n v="4758.6400000000003"/>
    <n v="500"/>
    <n v="225"/>
    <s v="OK"/>
    <n v="0.98615384615384616"/>
    <n v="-18"/>
    <n v="4.9141965678627143E-2"/>
    <n v="19.480000000000004"/>
    <n v="5483.64"/>
    <n v="4.4984741591468422"/>
  </r>
  <r>
    <s v="PRD-0025"/>
    <d v="2026-09-14T00:00:00"/>
    <x v="2"/>
    <s v="Beverage Powder"/>
    <x v="2"/>
    <x v="2"/>
    <n v="800"/>
    <n v="638"/>
    <n v="12"/>
    <n v="70.91"/>
    <n v="67.17"/>
    <n v="0"/>
    <n v="1985.48"/>
    <n v="500"/>
    <n v="225"/>
    <s v="OK"/>
    <n v="0.79749999999999999"/>
    <n v="-162"/>
    <n v="1.8808777429467086E-2"/>
    <n v="3.7399999999999949"/>
    <n v="2710.48"/>
    <n v="4.329840255591054"/>
  </r>
  <r>
    <s v="PRD-0026"/>
    <d v="2026-09-30T00:00:00"/>
    <x v="2"/>
    <s v="Beverage Powder"/>
    <x v="0"/>
    <x v="0"/>
    <n v="1300"/>
    <n v="1016"/>
    <n v="27"/>
    <n v="99.22"/>
    <n v="106.6"/>
    <n v="20"/>
    <n v="3671.14"/>
    <n v="450"/>
    <n v="200"/>
    <s v="OK"/>
    <n v="0.78153846153846152"/>
    <n v="-284"/>
    <n v="2.6574803149606301E-2"/>
    <n v="-7.3799999999999955"/>
    <n v="4321.1399999999994"/>
    <n v="4.3692012133468143"/>
  </r>
  <r>
    <s v="PRD-0027"/>
    <d v="2026-09-19T00:00:00"/>
    <x v="3"/>
    <s v="Infant Cereal"/>
    <x v="2"/>
    <x v="0"/>
    <n v="1200"/>
    <n v="1098"/>
    <n v="23"/>
    <n v="127.71"/>
    <n v="103.4"/>
    <n v="15"/>
    <n v="4342.1400000000003"/>
    <n v="500"/>
    <n v="180"/>
    <s v="OK"/>
    <n v="0.91500000000000004"/>
    <n v="-102"/>
    <n v="2.0947176684881604E-2"/>
    <n v="24.309999999999988"/>
    <n v="5022.1400000000003"/>
    <n v="4.6717581395348837"/>
  </r>
  <r>
    <s v="PRD-0028"/>
    <d v="2026-09-07T00:00:00"/>
    <x v="2"/>
    <s v="Beverage Powder"/>
    <x v="2"/>
    <x v="1"/>
    <n v="800"/>
    <n v="587"/>
    <n v="19"/>
    <n v="70.27"/>
    <n v="84.87"/>
    <n v="45"/>
    <n v="2178.37"/>
    <n v="500"/>
    <n v="275"/>
    <s v="OK"/>
    <n v="0.73375000000000001"/>
    <n v="-213"/>
    <n v="3.2367972742759793E-2"/>
    <n v="-14.600000000000009"/>
    <n v="2953.37"/>
    <n v="5.1995950704225349"/>
  </r>
  <r>
    <s v="PRD-0029"/>
    <d v="2026-09-07T00:00:00"/>
    <x v="0"/>
    <s v="Evaporated Milk"/>
    <x v="1"/>
    <x v="1"/>
    <n v="1300"/>
    <n v="989"/>
    <n v="40"/>
    <n v="94.98"/>
    <n v="120.93"/>
    <n v="60"/>
    <n v="2944.38"/>
    <n v="500"/>
    <n v="250"/>
    <s v="OK"/>
    <n v="0.76076923076923075"/>
    <n v="-311"/>
    <n v="4.0444893832153689E-2"/>
    <n v="-25.950000000000003"/>
    <n v="3694.38"/>
    <n v="3.892918861959958"/>
  </r>
  <r>
    <s v="PRD-0030"/>
    <d v="2026-09-09T00:00:00"/>
    <x v="2"/>
    <s v="Infant Cereal"/>
    <x v="0"/>
    <x v="1"/>
    <n v="900"/>
    <n v="817"/>
    <n v="40"/>
    <n v="83.02"/>
    <n v="80.16"/>
    <n v="20"/>
    <n v="2324.56"/>
    <n v="300"/>
    <n v="275"/>
    <s v="OK"/>
    <n v="0.90777777777777779"/>
    <n v="-83"/>
    <n v="4.8959608323133418E-2"/>
    <n v="2.8599999999999994"/>
    <n v="2899.56"/>
    <n v="3.7317374517374517"/>
  </r>
  <r>
    <s v="PRD-0031"/>
    <d v="2026-09-16T00:00:00"/>
    <x v="2"/>
    <s v="Beverage Powder"/>
    <x v="1"/>
    <x v="0"/>
    <n v="1000"/>
    <n v="745"/>
    <n v="35"/>
    <n v="64.52"/>
    <n v="106.59"/>
    <n v="10"/>
    <n v="2387.2399999999998"/>
    <n v="300"/>
    <n v="275"/>
    <s v="OK"/>
    <n v="0.745"/>
    <n v="-255"/>
    <n v="4.6979865771812082E-2"/>
    <n v="-42.070000000000007"/>
    <n v="2962.24"/>
    <n v="4.1721690140845071"/>
  </r>
  <r>
    <s v="PRD-0032"/>
    <d v="2026-09-14T00:00:00"/>
    <x v="1"/>
    <s v="Coffee Mix"/>
    <x v="0"/>
    <x v="1"/>
    <n v="1200"/>
    <n v="1040"/>
    <n v="29"/>
    <n v="128.93"/>
    <n v="98.11"/>
    <n v="15"/>
    <n v="3996.83"/>
    <n v="250"/>
    <n v="180"/>
    <s v="OK"/>
    <n v="0.8666666666666667"/>
    <n v="-160"/>
    <n v="2.7884615384615386E-2"/>
    <n v="30.820000000000007"/>
    <n v="4426.83"/>
    <n v="4.3786646884272997"/>
  </r>
  <r>
    <s v="PRD-0033"/>
    <d v="2026-09-23T00:00:00"/>
    <x v="1"/>
    <s v="Coffee Mix"/>
    <x v="2"/>
    <x v="1"/>
    <n v="800"/>
    <n v="819"/>
    <n v="36"/>
    <n v="66.760000000000005"/>
    <n v="71.06"/>
    <n v="20"/>
    <n v="2069.56"/>
    <n v="300"/>
    <n v="250"/>
    <s v="OK"/>
    <n v="1.0237499999999999"/>
    <n v="19"/>
    <n v="4.3956043956043959E-2"/>
    <n v="-4.2999999999999972"/>
    <n v="2619.56"/>
    <n v="3.3455427841634737"/>
  </r>
  <r>
    <s v="PRD-0034"/>
    <d v="2026-09-03T00:00:00"/>
    <x v="1"/>
    <s v="Coffee Mix"/>
    <x v="2"/>
    <x v="0"/>
    <n v="800"/>
    <n v="746"/>
    <n v="35"/>
    <n v="89.09"/>
    <n v="68.59"/>
    <n v="75"/>
    <n v="3563.6"/>
    <n v="400"/>
    <n v="275"/>
    <s v="OK"/>
    <n v="0.9325"/>
    <n v="-54"/>
    <n v="4.6916890080428951E-2"/>
    <n v="20.5"/>
    <n v="4238.6000000000004"/>
    <n v="5.9614627285513366"/>
  </r>
  <r>
    <s v="PRD-0035"/>
    <d v="2026-09-17T00:00:00"/>
    <x v="3"/>
    <s v="Infant Cereal"/>
    <x v="0"/>
    <x v="1"/>
    <n v="1000"/>
    <n v="866"/>
    <n v="24"/>
    <n v="79.52"/>
    <n v="105.92"/>
    <n v="15"/>
    <n v="2226.56"/>
    <n v="400"/>
    <n v="275"/>
    <s v="OK"/>
    <n v="0.86599999999999999"/>
    <n v="-134"/>
    <n v="2.771362586605081E-2"/>
    <n v="-26.400000000000006"/>
    <n v="2901.56"/>
    <n v="3.4460332541567693"/>
  </r>
  <r>
    <s v="PRD-0036"/>
    <d v="2026-09-19T00:00:00"/>
    <x v="1"/>
    <s v="Coffee Mix"/>
    <x v="1"/>
    <x v="2"/>
    <n v="1000"/>
    <n v="759"/>
    <n v="14"/>
    <n v="79.02"/>
    <n v="94.31"/>
    <n v="45"/>
    <n v="2449.62"/>
    <n v="400"/>
    <n v="300"/>
    <s v="OK"/>
    <n v="0.75900000000000001"/>
    <n v="-241"/>
    <n v="1.844532279314888E-2"/>
    <n v="-15.290000000000006"/>
    <n v="3149.62"/>
    <n v="4.2276778523489931"/>
  </r>
  <r>
    <s v="PRD-0037"/>
    <d v="2026-09-23T00:00:00"/>
    <x v="1"/>
    <s v="Coffee Mix"/>
    <x v="0"/>
    <x v="1"/>
    <n v="1000"/>
    <n v="760"/>
    <n v="13"/>
    <n v="90.88"/>
    <n v="100.22"/>
    <n v="75"/>
    <n v="2817.28"/>
    <n v="500"/>
    <n v="200"/>
    <s v="OK"/>
    <n v="0.76"/>
    <n v="-240"/>
    <n v="1.7105263157894738E-2"/>
    <n v="-9.3400000000000034"/>
    <n v="3517.28"/>
    <n v="4.7085408299866138"/>
  </r>
  <r>
    <s v="PRD-0038"/>
    <d v="2026-09-21T00:00:00"/>
    <x v="0"/>
    <s v="Evaporated Milk"/>
    <x v="2"/>
    <x v="1"/>
    <n v="900"/>
    <n v="958"/>
    <n v="19"/>
    <n v="82.41"/>
    <n v="75.33"/>
    <n v="0"/>
    <n v="2554.71"/>
    <n v="250"/>
    <n v="180"/>
    <s v="OK"/>
    <n v="1.0644444444444445"/>
    <n v="58"/>
    <n v="1.9832985386221295E-2"/>
    <n v="7.0799999999999983"/>
    <n v="2984.71"/>
    <n v="3.1786048988285409"/>
  </r>
  <r>
    <s v="PRD-0039"/>
    <d v="2026-09-02T00:00:00"/>
    <x v="2"/>
    <s v="Beverage Powder"/>
    <x v="0"/>
    <x v="0"/>
    <n v="1100"/>
    <n v="886"/>
    <n v="40"/>
    <n v="76.84"/>
    <n v="89.48"/>
    <n v="0"/>
    <n v="2612.56"/>
    <n v="300"/>
    <n v="200"/>
    <s v="OK"/>
    <n v="0.80545454545454542"/>
    <n v="-214"/>
    <n v="4.5146726862302484E-2"/>
    <n v="-12.64"/>
    <n v="3112.56"/>
    <n v="3.6791489361702125"/>
  </r>
  <r>
    <s v="PRD-0040"/>
    <d v="2026-09-03T00:00:00"/>
    <x v="3"/>
    <s v="Infant Cereal"/>
    <x v="0"/>
    <x v="1"/>
    <n v="800"/>
    <n v="746"/>
    <n v="18"/>
    <n v="71.03"/>
    <n v="66.33"/>
    <n v="30"/>
    <n v="2628.11"/>
    <n v="300"/>
    <n v="180"/>
    <s v="OK"/>
    <n v="0.9325"/>
    <n v="-54"/>
    <n v="2.4128686327077747E-2"/>
    <n v="4.7000000000000028"/>
    <n v="3108.11"/>
    <n v="4.2693818681318687"/>
  </r>
  <r>
    <s v="PRD-0041"/>
    <d v="2026-09-04T00:00:00"/>
    <x v="0"/>
    <s v="Evaporated Milk"/>
    <x v="2"/>
    <x v="2"/>
    <n v="1100"/>
    <n v="958"/>
    <n v="14"/>
    <n v="89.97"/>
    <n v="117.56"/>
    <n v="30"/>
    <n v="3598.8"/>
    <n v="300"/>
    <n v="275"/>
    <s v="OK"/>
    <n v="0.87090909090909085"/>
    <n v="-142"/>
    <n v="1.4613778705636743E-2"/>
    <n v="-27.590000000000003"/>
    <n v="4173.8"/>
    <n v="4.4213983050847459"/>
  </r>
  <r>
    <s v="PRD-0042"/>
    <d v="2026-09-20T00:00:00"/>
    <x v="1"/>
    <s v="Coffee Mix"/>
    <x v="1"/>
    <x v="1"/>
    <n v="800"/>
    <n v="620"/>
    <n v="5"/>
    <n v="60.72"/>
    <n v="69.08"/>
    <n v="0"/>
    <n v="2246.64"/>
    <n v="500"/>
    <n v="225"/>
    <s v="OK"/>
    <n v="0.77500000000000002"/>
    <n v="-180"/>
    <n v="8.0645161290322578E-3"/>
    <n v="-8.36"/>
    <n v="2971.64"/>
    <n v="4.8319349593495931"/>
  </r>
  <r>
    <s v="PRD-0043"/>
    <d v="2026-09-21T00:00:00"/>
    <x v="0"/>
    <s v="Evaporated Milk"/>
    <x v="1"/>
    <x v="2"/>
    <n v="1200"/>
    <n v="964"/>
    <n v="18"/>
    <n v="115.9"/>
    <n v="126.68"/>
    <n v="30"/>
    <n v="4636"/>
    <n v="250"/>
    <n v="250"/>
    <s v="OK"/>
    <n v="0.80333333333333334"/>
    <n v="-236"/>
    <n v="1.8672199170124481E-2"/>
    <n v="-10.780000000000001"/>
    <n v="5136"/>
    <n v="5.4291754756871038"/>
  </r>
  <r>
    <s v="PRD-0044"/>
    <d v="2026-09-24T00:00:00"/>
    <x v="1"/>
    <s v="Coffee Mix"/>
    <x v="0"/>
    <x v="1"/>
    <n v="900"/>
    <n v="847"/>
    <n v="36"/>
    <n v="79.11"/>
    <n v="97.85"/>
    <n v="60"/>
    <n v="2215.08"/>
    <n v="350"/>
    <n v="300"/>
    <s v="OK"/>
    <n v="0.94111111111111112"/>
    <n v="-53"/>
    <n v="4.2502951593860687E-2"/>
    <n v="-18.739999999999995"/>
    <n v="2865.08"/>
    <n v="3.5327743526510478"/>
  </r>
  <r>
    <s v="PRD-0045"/>
    <d v="2026-09-19T00:00:00"/>
    <x v="2"/>
    <s v="Beverage Powder"/>
    <x v="0"/>
    <x v="0"/>
    <n v="800"/>
    <n v="666"/>
    <n v="22"/>
    <m/>
    <n v="66.42"/>
    <n v="75"/>
    <n v="2619.19"/>
    <n v="300"/>
    <n v="250"/>
    <s v="Review"/>
    <n v="0.83250000000000002"/>
    <n v="-134"/>
    <n v="3.3033033033033031E-2"/>
    <s v=""/>
    <n v="3169.19"/>
    <n v="4.9211024844720495"/>
  </r>
  <r>
    <s v="PRD-0046"/>
    <d v="2026-09-12T00:00:00"/>
    <x v="2"/>
    <s v="Beverage Powder"/>
    <x v="1"/>
    <x v="0"/>
    <n v="1000"/>
    <n v="809"/>
    <n v="5"/>
    <n v="82.29"/>
    <n v="85.97"/>
    <n v="15"/>
    <n v="2550.9899999999998"/>
    <n v="500"/>
    <n v="275"/>
    <s v="OK"/>
    <n v="0.80900000000000005"/>
    <n v="-191"/>
    <n v="6.180469715698393E-3"/>
    <n v="-3.6799999999999926"/>
    <n v="3325.99"/>
    <n v="4.1368034825870641"/>
  </r>
  <r>
    <s v="PRD-0047"/>
    <d v="2026-09-16T00:00:00"/>
    <x v="2"/>
    <s v="Beverage Powder"/>
    <x v="0"/>
    <x v="2"/>
    <n v="900"/>
    <n v="782"/>
    <n v="30"/>
    <n v="91.92"/>
    <n v="76.260000000000005"/>
    <n v="20"/>
    <n v="2849.52"/>
    <n v="450"/>
    <n v="225"/>
    <s v="OK"/>
    <n v="0.86888888888888893"/>
    <n v="-118"/>
    <n v="3.8363171355498722E-2"/>
    <n v="15.659999999999997"/>
    <n v="3524.52"/>
    <n v="4.6868617021276595"/>
  </r>
  <r>
    <s v="PRD-0048"/>
    <d v="2026-09-09T00:00:00"/>
    <x v="1"/>
    <s v="Coffee Mix"/>
    <x v="1"/>
    <x v="0"/>
    <n v="1100"/>
    <n v="1083"/>
    <n v="21"/>
    <n v="137.37"/>
    <n v="104.62"/>
    <n v="45"/>
    <n v="4258.47"/>
    <n v="250"/>
    <n v="250"/>
    <s v="OK"/>
    <n v="0.9845454545454545"/>
    <n v="-17"/>
    <n v="1.9390581717451522E-2"/>
    <n v="32.75"/>
    <n v="4758.47"/>
    <n v="4.4806685499058378"/>
  </r>
  <r>
    <s v="PRD-0049"/>
    <d v="2026-09-20T00:00:00"/>
    <x v="2"/>
    <s v="Beverage Powder"/>
    <x v="1"/>
    <x v="1"/>
    <n v="1100"/>
    <n v="1005"/>
    <n v="30"/>
    <n v="108.89"/>
    <n v="118.23"/>
    <n v="5"/>
    <n v="3375.59"/>
    <n v="400"/>
    <n v="275"/>
    <s v="OK"/>
    <n v="0.91363636363636369"/>
    <n v="-95"/>
    <n v="2.9850746268656716E-2"/>
    <n v="-9.3400000000000034"/>
    <n v="4050.59"/>
    <n v="4.1544512820512818"/>
  </r>
  <r>
    <s v="PRD-0050"/>
    <d v="2026-09-13T00:00:00"/>
    <x v="1"/>
    <s v="Coffee Mix"/>
    <x v="1"/>
    <x v="2"/>
    <n v="1300"/>
    <n v="1321"/>
    <n v="16"/>
    <n v="130.76"/>
    <n v="136.19999999999999"/>
    <n v="5"/>
    <n v="4838.12"/>
    <n v="300"/>
    <n v="275"/>
    <s v="OK"/>
    <n v="1.0161538461538462"/>
    <n v="21"/>
    <n v="1.2112036336109008E-2"/>
    <n v="-5.4399999999999977"/>
    <n v="5413.12"/>
    <n v="4.1479846743295017"/>
  </r>
  <r>
    <s v="PRD-0051"/>
    <d v="2026-09-09T00:00:00"/>
    <x v="0"/>
    <s v="Evaporated Milk"/>
    <x v="2"/>
    <x v="0"/>
    <n v="800"/>
    <n v="801"/>
    <n v="14"/>
    <n v="99.32"/>
    <n v="66.87"/>
    <n v="10"/>
    <n v="3376.88"/>
    <n v="300"/>
    <n v="250"/>
    <s v="OK"/>
    <n v="1.00125"/>
    <n v="1"/>
    <n v="1.7478152309612985E-2"/>
    <n v="32.449999999999989"/>
    <n v="3926.88"/>
    <n v="4.9896823379923765"/>
  </r>
  <r>
    <s v="PRD-0052"/>
    <d v="2026-09-15T00:00:00"/>
    <x v="3"/>
    <s v="Infant Cereal"/>
    <x v="0"/>
    <x v="2"/>
    <n v="800"/>
    <n v="817"/>
    <n v="36"/>
    <n v="90.52"/>
    <n v="81.36"/>
    <n v="0"/>
    <n v="3349.24"/>
    <n v="250"/>
    <n v="180"/>
    <s v="OK"/>
    <n v="1.02125"/>
    <n v="17"/>
    <n v="4.4063647490820076E-2"/>
    <n v="9.1599999999999966"/>
    <n v="3779.24"/>
    <n v="4.8389756722151089"/>
  </r>
  <r>
    <s v="PRD-0053"/>
    <d v="2026-09-17T00:00:00"/>
    <x v="3"/>
    <s v="Infant Cereal"/>
    <x v="1"/>
    <x v="2"/>
    <n v="1200"/>
    <n v="946"/>
    <n v="20"/>
    <n v="107.99"/>
    <n v="113.86"/>
    <n v="60"/>
    <n v="3671.66"/>
    <n v="450"/>
    <n v="300"/>
    <s v="OK"/>
    <n v="0.78833333333333333"/>
    <n v="-254"/>
    <n v="2.1141649048625793E-2"/>
    <n v="-5.8700000000000045"/>
    <n v="4421.66"/>
    <n v="4.7750107991360693"/>
  </r>
  <r>
    <s v="PRD-0054"/>
    <d v="2026-09-01T00:00:00"/>
    <x v="0"/>
    <s v="Evaporated Milk"/>
    <x v="0"/>
    <x v="2"/>
    <n v="1000"/>
    <n v="747"/>
    <n v="33"/>
    <n v="96.66"/>
    <n v="100.6"/>
    <n v="10"/>
    <n v="2706.48"/>
    <n v="250"/>
    <n v="275"/>
    <s v="OK"/>
    <n v="0.747"/>
    <n v="-253"/>
    <n v="4.4176706827309238E-2"/>
    <n v="-3.9399999999999977"/>
    <n v="3231.48"/>
    <n v="4.5258823529411769"/>
  </r>
  <r>
    <s v="PRD-0055"/>
    <d v="2026-09-10T00:00:00"/>
    <x v="1"/>
    <s v="Coffee Mix"/>
    <x v="0"/>
    <x v="0"/>
    <n v="1300"/>
    <n v="1102"/>
    <n v="34"/>
    <n v="130.51"/>
    <n v="135.07"/>
    <n v="0"/>
    <n v="3654.28"/>
    <n v="250"/>
    <n v="225"/>
    <s v="OK"/>
    <n v="0.84769230769230774"/>
    <n v="-198"/>
    <n v="3.0852994555353903E-2"/>
    <n v="-4.5600000000000023"/>
    <n v="4129.2800000000007"/>
    <n v="3.8663670411985023"/>
  </r>
  <r>
    <s v="PRD-0056"/>
    <d v="2026-09-13T00:00:00"/>
    <x v="1"/>
    <s v="Coffee Mix"/>
    <x v="0"/>
    <x v="0"/>
    <n v="800"/>
    <n v="583"/>
    <n v="15"/>
    <n v="71.510000000000005"/>
    <n v="79.95"/>
    <n v="0"/>
    <n v="2431.34"/>
    <n v="250"/>
    <n v="180"/>
    <s v="OK"/>
    <n v="0.72875000000000001"/>
    <n v="-217"/>
    <n v="2.5728987993138937E-2"/>
    <n v="-8.4399999999999977"/>
    <n v="2861.34"/>
    <n v="5.0375704225352118"/>
  </r>
  <r>
    <s v="PRD-0057"/>
    <d v="2026-09-06T00:00:00"/>
    <x v="0"/>
    <s v="Evaporated Milk"/>
    <x v="1"/>
    <x v="1"/>
    <n v="1300"/>
    <n v="1277"/>
    <n v="30"/>
    <n v="127.28"/>
    <n v="141.82"/>
    <n v="45"/>
    <n v="3563.84"/>
    <n v="250"/>
    <n v="250"/>
    <s v="OK"/>
    <n v="0.98230769230769233"/>
    <n v="-23"/>
    <n v="2.3492560689115115E-2"/>
    <n v="-14.539999999999992"/>
    <n v="4063.84"/>
    <n v="3.2588933440256618"/>
  </r>
  <r>
    <s v="PRD-0058"/>
    <d v="2026-09-20T00:00:00"/>
    <x v="3"/>
    <s v="Infant Cereal"/>
    <x v="2"/>
    <x v="1"/>
    <n v="1200"/>
    <n v="1056"/>
    <n v="14"/>
    <n v="104.43"/>
    <n v="104.34"/>
    <n v="60"/>
    <n v="2924.04"/>
    <n v="300"/>
    <n v="250"/>
    <s v="OK"/>
    <n v="0.88"/>
    <n v="-144"/>
    <n v="1.3257575757575758E-2"/>
    <n v="9.0000000000003411E-2"/>
    <n v="3474.04"/>
    <n v="3.3340115163147792"/>
  </r>
  <r>
    <s v="PRD-0059"/>
    <d v="2026-09-11T00:00:00"/>
    <x v="2"/>
    <s v="Beverage Powder"/>
    <x v="1"/>
    <x v="0"/>
    <n v="900"/>
    <n v="854"/>
    <n v="12"/>
    <n v="99.78"/>
    <n v="87.19"/>
    <n v="10"/>
    <n v="3691.86"/>
    <n v="300"/>
    <n v="300"/>
    <s v="OK"/>
    <n v="0.94888888888888889"/>
    <n v="-46"/>
    <n v="1.405152224824356E-2"/>
    <n v="12.590000000000003"/>
    <n v="4291.8600000000006"/>
    <n v="5.0972209026128272"/>
  </r>
  <r>
    <s v="PRD-0060"/>
    <d v="2026-09-24T00:00:00"/>
    <x v="1"/>
    <s v="Coffee Mix"/>
    <x v="2"/>
    <x v="0"/>
    <n v="1300"/>
    <n v="1010"/>
    <n v="50"/>
    <n v="81.25"/>
    <n v="131.22999999999999"/>
    <n v="20"/>
    <n v="3250"/>
    <n v="450"/>
    <n v="225"/>
    <s v="OK"/>
    <n v="0.77692307692307694"/>
    <n v="-290"/>
    <n v="4.9504950495049507E-2"/>
    <n v="-49.97999999999999"/>
    <n v="3925"/>
    <n v="4.088541666666667"/>
  </r>
  <r>
    <s v="PRD-0061"/>
    <d v="2026-09-24T00:00:00"/>
    <x v="3"/>
    <s v="Infant Cereal"/>
    <x v="1"/>
    <x v="0"/>
    <n v="800"/>
    <n v="772"/>
    <n v="18"/>
    <n v="87.87"/>
    <n v="80.63"/>
    <n v="10"/>
    <n v="3251.19"/>
    <n v="500"/>
    <n v="300"/>
    <s v="OK"/>
    <n v="0.96499999999999997"/>
    <n v="-28"/>
    <n v="2.3316062176165803E-2"/>
    <n v="7.2400000000000091"/>
    <n v="4051.19"/>
    <n v="5.3729310344827583"/>
  </r>
  <r>
    <s v="PRD-0062"/>
    <d v="2026-09-07T00:00:00"/>
    <x v="3"/>
    <s v="Infant Cereal"/>
    <x v="1"/>
    <x v="0"/>
    <n v="1300"/>
    <n v="1188"/>
    <n v="49"/>
    <n v="151.24"/>
    <n v="142.52000000000001"/>
    <n v="45"/>
    <n v="4688.4399999999996"/>
    <n v="350"/>
    <n v="180"/>
    <s v="OK"/>
    <n v="0.91384615384615386"/>
    <n v="-112"/>
    <n v="4.1245791245791245E-2"/>
    <n v="8.7199999999999989"/>
    <n v="5218.4399999999996"/>
    <n v="4.5815978928884986"/>
  </r>
  <r>
    <s v="PRD-0063"/>
    <d v="2026-09-05T00:00:00"/>
    <x v="3"/>
    <s v="Infant Cereal"/>
    <x v="0"/>
    <x v="0"/>
    <n v="1300"/>
    <n v="1038"/>
    <n v="25"/>
    <n v="83.27"/>
    <n v="135.96"/>
    <n v="5"/>
    <n v="3080.99"/>
    <n v="500"/>
    <n v="180"/>
    <s v="OK"/>
    <n v="0.79846153846153844"/>
    <n v="-262"/>
    <n v="2.4084778420038536E-2"/>
    <n v="-52.690000000000012"/>
    <n v="3760.99"/>
    <n v="3.7127245804540965"/>
  </r>
  <r>
    <s v="PRD-0064"/>
    <d v="2026-09-13T00:00:00"/>
    <x v="2"/>
    <s v="Beverage Powder"/>
    <x v="1"/>
    <x v="0"/>
    <n v="1100"/>
    <n v="1185"/>
    <n v="49"/>
    <n v="151.96"/>
    <n v="97.16"/>
    <n v="15"/>
    <n v="6078.4"/>
    <n v="350"/>
    <n v="275"/>
    <s v="OK"/>
    <n v="1.0772727272727274"/>
    <n v="85"/>
    <n v="4.1350210970464138E-2"/>
    <n v="54.800000000000011"/>
    <n v="6703.4"/>
    <n v="5.9008802816901404"/>
  </r>
  <r>
    <s v="PRD-0065"/>
    <d v="2026-09-17T00:00:00"/>
    <x v="0"/>
    <s v="Evaporated Milk"/>
    <x v="0"/>
    <x v="2"/>
    <n v="1300"/>
    <n v="1299"/>
    <n v="37"/>
    <n v="151.86000000000001"/>
    <n v="125.39"/>
    <n v="75"/>
    <n v="4707.66"/>
    <n v="300"/>
    <n v="225"/>
    <s v="OK"/>
    <n v="0.99923076923076926"/>
    <n v="-1"/>
    <n v="2.848344880677444E-2"/>
    <n v="26.470000000000013"/>
    <n v="5232.66"/>
    <n v="4.1463232963549919"/>
  </r>
  <r>
    <s v="PRD-0066"/>
    <d v="2026-09-01T00:00:00"/>
    <x v="2"/>
    <s v="Beverage Powder"/>
    <x v="2"/>
    <x v="1"/>
    <n v="800"/>
    <n v="757"/>
    <n v="32"/>
    <n v="87.26"/>
    <n v="65.03"/>
    <n v="15"/>
    <n v="2705.06"/>
    <n v="300"/>
    <n v="250"/>
    <s v="OK"/>
    <n v="0.94625000000000004"/>
    <n v="-43"/>
    <n v="4.2272126816380449E-2"/>
    <n v="22.230000000000004"/>
    <n v="3255.06"/>
    <n v="4.4897379310344823"/>
  </r>
  <r>
    <s v="PRD-0067"/>
    <d v="2026-09-24T00:00:00"/>
    <x v="3"/>
    <s v="Infant Cereal"/>
    <x v="2"/>
    <x v="2"/>
    <n v="1300"/>
    <n v="1034"/>
    <n v="23"/>
    <n v="95.6"/>
    <n v="130.31"/>
    <n v="30"/>
    <n v="3250.4"/>
    <n v="300"/>
    <n v="200"/>
    <s v="OK"/>
    <n v="0.79538461538461536"/>
    <n v="-266"/>
    <n v="2.2243713733075435E-2"/>
    <n v="-34.710000000000008"/>
    <n v="3750.4"/>
    <n v="3.7095944609297726"/>
  </r>
  <r>
    <s v="PRD-0068"/>
    <d v="2026-09-30T00:00:00"/>
    <x v="2"/>
    <s v="Beverage Powder"/>
    <x v="2"/>
    <x v="1"/>
    <n v="1100"/>
    <n v="1103"/>
    <n v="11"/>
    <n v="90.84"/>
    <n v="99.69"/>
    <n v="45"/>
    <n v="2543.52"/>
    <n v="400"/>
    <n v="200"/>
    <s v="OK"/>
    <n v="1.0027272727272727"/>
    <n v="3"/>
    <n v="9.9728014505893019E-3"/>
    <n v="-8.8499999999999943"/>
    <n v="3143.52"/>
    <n v="2.8786813186813185"/>
  </r>
  <r>
    <s v="PRD-0069"/>
    <d v="2026-09-12T00:00:00"/>
    <x v="2"/>
    <s v="Beverage Powder"/>
    <x v="1"/>
    <x v="2"/>
    <n v="1000"/>
    <n v="1034"/>
    <n v="30"/>
    <n v="105.76"/>
    <n v="106.97"/>
    <n v="20"/>
    <n v="3913.12"/>
    <n v="250"/>
    <n v="300"/>
    <s v="OK"/>
    <n v="1.034"/>
    <n v="34"/>
    <n v="2.9013539651837523E-2"/>
    <n v="-1.2099999999999937"/>
    <n v="4463.12"/>
    <n v="4.4453386454183264"/>
  </r>
  <r>
    <s v="PRD-0070"/>
    <d v="2026-09-23T00:00:00"/>
    <x v="3"/>
    <s v="Infant Cereal"/>
    <x v="1"/>
    <x v="2"/>
    <n v="1200"/>
    <n v="1130"/>
    <n v="36"/>
    <n v="127.51"/>
    <n v="108.2"/>
    <n v="10"/>
    <n v="3570.28"/>
    <n v="250"/>
    <n v="300"/>
    <s v="OK"/>
    <n v="0.94166666666666665"/>
    <n v="-70"/>
    <n v="3.1858407079646017E-2"/>
    <n v="19.310000000000002"/>
    <n v="4120.2800000000007"/>
    <n v="3.7662522851919569"/>
  </r>
  <r>
    <s v="PRD-0072"/>
    <d v="2026-09-07T00:00:00"/>
    <x v="0"/>
    <s v="Evaporated Milk"/>
    <x v="1"/>
    <x v="0"/>
    <n v="900"/>
    <n v="760"/>
    <n v="7"/>
    <n v="79.91"/>
    <n v="74.7"/>
    <n v="20"/>
    <n v="2956.67"/>
    <n v="400"/>
    <n v="180"/>
    <s v="OK"/>
    <n v="0.84444444444444444"/>
    <n v="-140"/>
    <n v="9.2105263157894728E-3"/>
    <n v="5.2099999999999937"/>
    <n v="3536.67"/>
    <n v="4.6967729083665342"/>
  </r>
  <r>
    <s v="PRD-0073"/>
    <d v="2026-09-09T00:00:00"/>
    <x v="1"/>
    <s v="Coffee Mix"/>
    <x v="1"/>
    <x v="2"/>
    <n v="1200"/>
    <n v="1131"/>
    <n v="18"/>
    <n v="143.72999999999999"/>
    <n v="96.81"/>
    <n v="5"/>
    <n v="4024.44"/>
    <n v="300"/>
    <n v="275"/>
    <s v="OK"/>
    <n v="0.9425"/>
    <n v="-69"/>
    <n v="1.5915119363395226E-2"/>
    <n v="46.919999999999987"/>
    <n v="4599.4400000000005"/>
    <n v="4.1324707996406111"/>
  </r>
  <r>
    <s v="PRD-0074"/>
    <d v="2026-09-12T00:00:00"/>
    <x v="3"/>
    <s v="Infant Cereal"/>
    <x v="0"/>
    <x v="1"/>
    <n v="800"/>
    <n v="832"/>
    <n v="24"/>
    <n v="67.84"/>
    <n v="82.61"/>
    <n v="45"/>
    <n v="1899.52"/>
    <n v="300"/>
    <n v="300"/>
    <s v="OK"/>
    <n v="1.04"/>
    <n v="32"/>
    <n v="2.8846153846153848E-2"/>
    <n v="-14.769999999999996"/>
    <n v="2499.52"/>
    <n v="3.0934653465346535"/>
  </r>
  <r>
    <s v="PRD-0075"/>
    <d v="2026-09-03T00:00:00"/>
    <x v="1"/>
    <s v="Coffee Mix"/>
    <x v="0"/>
    <x v="1"/>
    <n v="1100"/>
    <n v="955"/>
    <n v="14"/>
    <n v="75.7"/>
    <n v="112.21"/>
    <n v="75"/>
    <n v="2346.6999999999998"/>
    <n v="400"/>
    <n v="200"/>
    <s v="OK"/>
    <n v="0.86818181818181817"/>
    <n v="-145"/>
    <n v="1.4659685863874346E-2"/>
    <n v="-36.509999999999991"/>
    <n v="2946.7"/>
    <n v="3.1314558979808713"/>
  </r>
  <r>
    <s v="PRD-0076"/>
    <d v="2026-09-23T00:00:00"/>
    <x v="2"/>
    <s v="Beverage Powder"/>
    <x v="1"/>
    <x v="0"/>
    <n v="1200"/>
    <n v="1130"/>
    <n v="20"/>
    <n v="88.45"/>
    <n v="107.82"/>
    <n v="60"/>
    <n v="2741.95"/>
    <n v="450"/>
    <n v="300"/>
    <s v="OK"/>
    <n v="0.94166666666666665"/>
    <n v="-70"/>
    <n v="1.7699115044247787E-2"/>
    <n v="-19.36999999999999"/>
    <n v="3491.95"/>
    <n v="3.1459009009009007"/>
  </r>
  <r>
    <s v="PRD-0077"/>
    <d v="2026-09-06T00:00:00"/>
    <x v="1"/>
    <s v="Coffee Mix"/>
    <x v="0"/>
    <x v="1"/>
    <n v="1200"/>
    <n v="1203"/>
    <n v="20"/>
    <n v="131.03"/>
    <n v="114.8"/>
    <n v="10"/>
    <n v="4061.93"/>
    <n v="400"/>
    <n v="275"/>
    <s v="OK"/>
    <n v="1.0024999999999999"/>
    <n v="3"/>
    <n v="1.6625103906899419E-2"/>
    <n v="16.230000000000004"/>
    <n v="4736.93"/>
    <n v="4.004167371090448"/>
  </r>
  <r>
    <s v="PRD-0078"/>
    <d v="2026-09-05T00:00:00"/>
    <x v="1"/>
    <s v="Coffee Mix"/>
    <x v="1"/>
    <x v="1"/>
    <n v="1300"/>
    <n v="1195"/>
    <n v="53"/>
    <n v="146.49"/>
    <n v="106.38"/>
    <n v="0"/>
    <n v="5420.13"/>
    <n v="500"/>
    <n v="180"/>
    <s v="OK"/>
    <n v="0.91923076923076918"/>
    <n v="-105"/>
    <n v="4.4351464435146447E-2"/>
    <n v="40.110000000000014"/>
    <n v="6100.13"/>
    <n v="5.3416199649737308"/>
  </r>
  <r>
    <s v="PRD-0079"/>
    <d v="2026-09-12T00:00:00"/>
    <x v="1"/>
    <s v="Coffee Mix"/>
    <x v="2"/>
    <x v="2"/>
    <n v="800"/>
    <n v="671"/>
    <n v="4"/>
    <n v="73.47"/>
    <n v="85.6"/>
    <n v="5"/>
    <n v="2277.5700000000002"/>
    <n v="350"/>
    <n v="275"/>
    <s v="OK"/>
    <n v="0.83875"/>
    <n v="-129"/>
    <n v="5.9612518628912071E-3"/>
    <n v="-12.129999999999995"/>
    <n v="2902.57"/>
    <n v="4.3516791604197902"/>
  </r>
  <r>
    <s v="PRD-0080"/>
    <d v="2026-09-16T00:00:00"/>
    <x v="3"/>
    <s v="Infant Cereal"/>
    <x v="0"/>
    <x v="2"/>
    <n v="900"/>
    <n v="739"/>
    <n v="15"/>
    <n v="73.959999999999994"/>
    <n v="84.07"/>
    <n v="75"/>
    <n v="2514.64"/>
    <n v="400"/>
    <n v="300"/>
    <s v="OK"/>
    <n v="0.82111111111111112"/>
    <n v="-161"/>
    <n v="2.0297699594046009E-2"/>
    <n v="-10.11"/>
    <n v="3214.64"/>
    <n v="4.4401104972375691"/>
  </r>
  <r>
    <s v="PRD-0081"/>
    <d v="2026-09-29T00:00:00"/>
    <x v="1"/>
    <s v="Coffee Mix"/>
    <x v="2"/>
    <x v="0"/>
    <n v="1000"/>
    <n v="729"/>
    <n v="35"/>
    <n v="62.11"/>
    <n v="94.96"/>
    <n v="5"/>
    <n v="1925.41"/>
    <n v="400"/>
    <n v="275"/>
    <s v="OK"/>
    <n v="0.72899999999999998"/>
    <n v="-271"/>
    <n v="4.8010973936899862E-2"/>
    <n v="-32.849999999999994"/>
    <n v="2600.41"/>
    <n v="3.746988472622478"/>
  </r>
  <r>
    <s v="PRD-0082"/>
    <d v="2026-09-12T00:00:00"/>
    <x v="2"/>
    <s v="Beverage Powder"/>
    <x v="2"/>
    <x v="0"/>
    <n v="1200"/>
    <n v="1210"/>
    <n v="14"/>
    <n v="142.84"/>
    <n v="96.38"/>
    <n v="15"/>
    <n v="5285.08"/>
    <n v="350"/>
    <n v="300"/>
    <s v="OK"/>
    <n v="1.0083333333333333"/>
    <n v="10"/>
    <n v="1.1570247933884297E-2"/>
    <n v="46.460000000000008"/>
    <n v="5935.08"/>
    <n v="4.9624414715719061"/>
  </r>
  <r>
    <s v="PRD-0083"/>
    <d v="2026-09-08T00:00:00"/>
    <x v="1"/>
    <s v="Coffee Mix"/>
    <x v="1"/>
    <x v="1"/>
    <n v="1200"/>
    <n v="1074"/>
    <n v="20"/>
    <n v="89.9"/>
    <n v="122.93"/>
    <n v="0"/>
    <n v="3056.6"/>
    <n v="500"/>
    <n v="300"/>
    <s v="OK"/>
    <n v="0.89500000000000002"/>
    <n v="-126"/>
    <n v="1.86219739292365E-2"/>
    <n v="-33.03"/>
    <n v="3856.6"/>
    <n v="3.6590132827324475"/>
  </r>
  <r>
    <s v="PRD-0084"/>
    <d v="2026-09-16T00:00:00"/>
    <x v="3"/>
    <s v="Infant Cereal"/>
    <x v="2"/>
    <x v="1"/>
    <n v="1100"/>
    <n v="1128"/>
    <n v="50"/>
    <n v="128.62"/>
    <n v="98.26"/>
    <n v="75"/>
    <n v="5144.8"/>
    <n v="250"/>
    <n v="180"/>
    <s v="OK"/>
    <n v="1.0254545454545454"/>
    <n v="28"/>
    <n v="4.4326241134751775E-2"/>
    <n v="30.36"/>
    <n v="5574.8"/>
    <n v="5.1714285714285717"/>
  </r>
  <r>
    <s v="PRD-0085"/>
    <d v="2026-09-25T00:00:00"/>
    <x v="0"/>
    <s v="Evaporated Milk"/>
    <x v="0"/>
    <x v="1"/>
    <n v="1200"/>
    <n v="1258"/>
    <n v="60"/>
    <n v="115.67"/>
    <n v="122.35"/>
    <n v="10"/>
    <n v="4626.8"/>
    <n v="250"/>
    <n v="180"/>
    <s v="OK"/>
    <n v="1.0483333333333333"/>
    <n v="58"/>
    <n v="4.7694753577106522E-2"/>
    <n v="-6.6799999999999926"/>
    <n v="5056.8"/>
    <n v="4.2210350584307177"/>
  </r>
  <r>
    <s v="PRD-0086"/>
    <d v="2026-09-26T00:00:00"/>
    <x v="0"/>
    <s v="Evaporated Milk"/>
    <x v="2"/>
    <x v="1"/>
    <n v="800"/>
    <n v="607"/>
    <n v="14"/>
    <n v="55.46"/>
    <n v="65.209999999999994"/>
    <n v="30"/>
    <n v="1719.26"/>
    <n v="350"/>
    <n v="250"/>
    <s v="OK"/>
    <n v="0.75875000000000004"/>
    <n v="-193"/>
    <n v="2.3064250411861616E-2"/>
    <n v="-9.7499999999999929"/>
    <n v="2319.2600000000002"/>
    <n v="3.9110623946037104"/>
  </r>
  <r>
    <s v="PRD-0087"/>
    <d v="2026-09-20T00:00:00"/>
    <x v="1"/>
    <s v="Coffee Mix"/>
    <x v="1"/>
    <x v="2"/>
    <n v="900"/>
    <n v="766"/>
    <n v="23"/>
    <n v="74.16"/>
    <n v="78.540000000000006"/>
    <n v="15"/>
    <n v="2521.44"/>
    <n v="400"/>
    <n v="180"/>
    <s v="OK"/>
    <n v="0.85111111111111115"/>
    <n v="-134"/>
    <n v="3.0026109660574413E-2"/>
    <n v="-4.3800000000000097"/>
    <n v="3101.44"/>
    <n v="4.1742126514131899"/>
  </r>
  <r>
    <s v="PRD-0088"/>
    <d v="2026-09-13T00:00:00"/>
    <x v="2"/>
    <s v="Beverage Powder"/>
    <x v="1"/>
    <x v="2"/>
    <n v="1300"/>
    <n v="1058"/>
    <n v="37"/>
    <n v="124.59"/>
    <n v="121.71"/>
    <n v="15"/>
    <n v="3488.52"/>
    <n v="300"/>
    <n v="300"/>
    <s v="OK"/>
    <n v="0.81384615384615389"/>
    <n v="-242"/>
    <n v="3.4971644612476371E-2"/>
    <n v="2.8800000000000097"/>
    <n v="4088.52"/>
    <n v="4.0044270323212539"/>
  </r>
  <r>
    <s v="PRD-0089"/>
    <d v="2026-09-29T00:00:00"/>
    <x v="1"/>
    <s v="Coffee Mix"/>
    <x v="0"/>
    <x v="1"/>
    <n v="1000"/>
    <n v="865"/>
    <n v="26"/>
    <n v="107.14"/>
    <n v="84.83"/>
    <n v="10"/>
    <n v="3321.34"/>
    <n v="400"/>
    <n v="250"/>
    <s v="OK"/>
    <n v="0.86499999999999999"/>
    <n v="-135"/>
    <n v="3.0057803468208091E-2"/>
    <n v="22.310000000000002"/>
    <n v="3971.34"/>
    <n v="4.7334207389749707"/>
  </r>
  <r>
    <s v="PRD-0090"/>
    <d v="2026-09-05T00:00:00"/>
    <x v="1"/>
    <s v="Coffee Mix"/>
    <x v="0"/>
    <x v="0"/>
    <n v="900"/>
    <n v="923"/>
    <n v="23"/>
    <n v="105.6"/>
    <n v="94.88"/>
    <n v="30"/>
    <n v="4224"/>
    <n v="350"/>
    <n v="300"/>
    <s v="OK"/>
    <n v="1.0255555555555556"/>
    <n v="23"/>
    <n v="2.4918743228602384E-2"/>
    <n v="10.719999999999999"/>
    <n v="4874"/>
    <n v="5.4155555555555557"/>
  </r>
  <r>
    <s v="PRD-0091"/>
    <d v="2026-09-01T00:00:00"/>
    <x v="3"/>
    <s v="Infant Cereal"/>
    <x v="2"/>
    <x v="0"/>
    <n v="1300"/>
    <n v="952"/>
    <n v="51"/>
    <n v="94.23"/>
    <n v="111.77"/>
    <n v="5"/>
    <n v="3486.51"/>
    <n v="350"/>
    <n v="275"/>
    <s v="OK"/>
    <n v="0.73230769230769233"/>
    <n v="-348"/>
    <n v="5.3571428571428568E-2"/>
    <n v="-17.539999999999992"/>
    <n v="4111.51"/>
    <n v="4.5632741398446175"/>
  </r>
  <r>
    <s v="PRD-0092"/>
    <d v="2026-09-14T00:00:00"/>
    <x v="2"/>
    <s v="Beverage Powder"/>
    <x v="1"/>
    <x v="0"/>
    <n v="1200"/>
    <n v="1088"/>
    <n v="24"/>
    <n v="94.39"/>
    <n v="113.93"/>
    <n v="60"/>
    <n v="2642.92"/>
    <n v="350"/>
    <n v="275"/>
    <s v="OK"/>
    <n v="0.90666666666666662"/>
    <n v="-112"/>
    <n v="2.2058823529411766E-2"/>
    <n v="-19.540000000000006"/>
    <n v="3267.92"/>
    <n v="3.0713533834586468"/>
  </r>
  <r>
    <s v="PRD-0093"/>
    <d v="2026-09-23T00:00:00"/>
    <x v="2"/>
    <s v="Beverage Powder"/>
    <x v="0"/>
    <x v="1"/>
    <n v="1200"/>
    <n v="876"/>
    <n v="37"/>
    <n v="97.15"/>
    <n v="120.81"/>
    <n v="30"/>
    <n v="3594.55"/>
    <n v="300"/>
    <n v="180"/>
    <s v="OK"/>
    <n v="0.73"/>
    <n v="-324"/>
    <n v="4.2237442922374427E-2"/>
    <n v="-23.659999999999997"/>
    <n v="4074.55"/>
    <n v="4.8564362336114426"/>
  </r>
  <r>
    <s v="PRD-0094"/>
    <d v="2026-09-20T00:00:00"/>
    <x v="0"/>
    <s v="Evaporated Milk"/>
    <x v="2"/>
    <x v="1"/>
    <n v="1200"/>
    <n v="1081"/>
    <n v="43"/>
    <n v="86.74"/>
    <n v="96.57"/>
    <n v="75"/>
    <n v="2428.7199999999998"/>
    <n v="250"/>
    <n v="225"/>
    <s v="OK"/>
    <n v="0.90083333333333337"/>
    <n v="-119"/>
    <n v="3.9777983348751156E-2"/>
    <n v="-9.8299999999999983"/>
    <n v="2903.72"/>
    <n v="2.7974181117533718"/>
  </r>
  <r>
    <s v="PRD-0095"/>
    <d v="2026-09-01T00:00:00"/>
    <x v="1"/>
    <s v="Coffee Mix"/>
    <x v="2"/>
    <x v="1"/>
    <n v="1200"/>
    <n v="1217"/>
    <n v="16"/>
    <n v="111.2"/>
    <n v="112.1"/>
    <n v="60"/>
    <n v="3780.8"/>
    <n v="400"/>
    <n v="200"/>
    <s v="OK"/>
    <n v="1.0141666666666667"/>
    <n v="17"/>
    <n v="1.314708299096138E-2"/>
    <n v="-0.89999999999999147"/>
    <n v="4380.8"/>
    <n v="3.6476269775187347"/>
  </r>
  <r>
    <s v="PRD-0096"/>
    <d v="2026-09-05T00:00:00"/>
    <x v="0"/>
    <s v="Evaporated Milk"/>
    <x v="1"/>
    <x v="2"/>
    <n v="800"/>
    <n v="646"/>
    <n v="29"/>
    <n v="77.05"/>
    <n v="69.650000000000006"/>
    <n v="15"/>
    <n v="2850.85"/>
    <n v="500"/>
    <n v="180"/>
    <s v="OK"/>
    <n v="0.8075"/>
    <n v="-154"/>
    <n v="4.4891640866873063E-2"/>
    <n v="7.3999999999999915"/>
    <n v="3530.85"/>
    <n v="5.7226094003241492"/>
  </r>
  <r>
    <s v="PRD-0097"/>
    <d v="2026-09-10T00:00:00"/>
    <x v="3"/>
    <s v="Infant Cereal"/>
    <x v="1"/>
    <x v="1"/>
    <n v="1300"/>
    <n v="1045"/>
    <n v="37"/>
    <n v="106.68"/>
    <n v="128.29"/>
    <n v="15"/>
    <n v="3627.12"/>
    <n v="400"/>
    <n v="275"/>
    <s v="OK"/>
    <n v="0.80384615384615388"/>
    <n v="-255"/>
    <n v="3.5406698564593303E-2"/>
    <n v="-21.609999999999985"/>
    <n v="4302.12"/>
    <n v="4.2679761904761904"/>
  </r>
  <r>
    <s v="PRD-0098"/>
    <d v="2026-09-06T00:00:00"/>
    <x v="2"/>
    <s v="Beverage Powder"/>
    <x v="0"/>
    <x v="2"/>
    <n v="1000"/>
    <n v="922"/>
    <n v="21"/>
    <n v="69.39"/>
    <n v="98.57"/>
    <n v="75"/>
    <n v="2359.2600000000002"/>
    <n v="500"/>
    <n v="200"/>
    <s v="OK"/>
    <n v="0.92200000000000004"/>
    <n v="-78"/>
    <n v="2.27765726681128E-2"/>
    <n v="-29.179999999999993"/>
    <n v="3059.26"/>
    <n v="3.3954051054384022"/>
  </r>
  <r>
    <s v="PRD-0099"/>
    <d v="2026-09-13T00:00:00"/>
    <x v="2"/>
    <s v="Beverage Powder"/>
    <x v="0"/>
    <x v="2"/>
    <n v="1300"/>
    <n v="1203"/>
    <n v="26"/>
    <n v="122.98"/>
    <n v="106.91"/>
    <n v="60"/>
    <n v="3443.44"/>
    <n v="250"/>
    <n v="225"/>
    <s v="OK"/>
    <n v="0.92538461538461536"/>
    <n v="-97"/>
    <n v="2.1612635078969242E-2"/>
    <n v="16.070000000000007"/>
    <n v="3918.44"/>
    <n v="3.3291758708581138"/>
  </r>
  <r>
    <s v="PRD-0100"/>
    <d v="2026-09-23T00:00:00"/>
    <x v="2"/>
    <s v="Beverage Powder"/>
    <x v="2"/>
    <x v="2"/>
    <n v="1200"/>
    <n v="894"/>
    <n v="19"/>
    <n v="93.21"/>
    <n v="108.4"/>
    <n v="30"/>
    <n v="3448.77"/>
    <n v="350"/>
    <n v="275"/>
    <s v="OK"/>
    <n v="0.745"/>
    <n v="-306"/>
    <n v="2.1252796420581657E-2"/>
    <n v="-15.190000000000012"/>
    <n v="4073.77"/>
    <n v="4.6557371428571432"/>
  </r>
  <r>
    <s v="PRD-0101"/>
    <d v="2026-09-04T00:00:00"/>
    <x v="3"/>
    <s v="Infant Cereal"/>
    <x v="0"/>
    <x v="2"/>
    <n v="1200"/>
    <n v="1293"/>
    <n v="42"/>
    <n v="103.31"/>
    <n v="105.78"/>
    <n v="0"/>
    <n v="2892.68"/>
    <n v="250"/>
    <n v="275"/>
    <s v="OK"/>
    <n v="1.0774999999999999"/>
    <n v="93"/>
    <n v="3.248259860788863E-2"/>
    <n v="-2.4699999999999989"/>
    <n v="3417.68"/>
    <n v="2.7319584332533973"/>
  </r>
  <r>
    <s v="PRD-0102"/>
    <d v="2026-09-14T00:00:00"/>
    <x v="3"/>
    <s v="Infant Cereal"/>
    <x v="1"/>
    <x v="1"/>
    <n v="800"/>
    <n v="650"/>
    <n v="20"/>
    <n v="80.91"/>
    <n v="76.37"/>
    <n v="45"/>
    <n v="2993.67"/>
    <n v="350"/>
    <n v="300"/>
    <s v="OK"/>
    <n v="0.8125"/>
    <n v="-150"/>
    <n v="3.0769230769230771E-2"/>
    <n v="4.539999999999992"/>
    <n v="3643.67"/>
    <n v="5.7836031746031749"/>
  </r>
  <r>
    <s v="PRD-0103"/>
    <d v="2026-09-07T00:00:00"/>
    <x v="2"/>
    <s v="Beverage Powder"/>
    <x v="1"/>
    <x v="0"/>
    <n v="1200"/>
    <n v="1230"/>
    <n v="27"/>
    <n v="112.35"/>
    <n v="96.1"/>
    <n v="45"/>
    <n v="3145.8"/>
    <n v="250"/>
    <n v="180"/>
    <s v="OK"/>
    <n v="1.0249999999999999"/>
    <n v="30"/>
    <n v="2.1951219512195121E-2"/>
    <n v="16.25"/>
    <n v="3575.8"/>
    <n v="2.9724023275145472"/>
  </r>
  <r>
    <s v="PRD-0104"/>
    <d v="2026-09-29T00:00:00"/>
    <x v="3"/>
    <s v="Infant Cereal"/>
    <x v="2"/>
    <x v="1"/>
    <n v="1100"/>
    <n v="1111"/>
    <n v="6"/>
    <n v="98.46"/>
    <n v="105.41"/>
    <n v="30"/>
    <n v="2756.88"/>
    <n v="500"/>
    <n v="275"/>
    <s v="OK"/>
    <n v="1.01"/>
    <n v="11"/>
    <n v="5.4005400540054005E-3"/>
    <n v="-6.9500000000000028"/>
    <n v="3531.88"/>
    <n v="3.1962714932126697"/>
  </r>
  <r>
    <s v="PRD-0105"/>
    <d v="2026-09-22T00:00:00"/>
    <x v="2"/>
    <s v="Beverage Powder"/>
    <x v="2"/>
    <x v="1"/>
    <n v="1000"/>
    <n v="761"/>
    <n v="28"/>
    <n v="89.2"/>
    <n v="92.26"/>
    <n v="0"/>
    <n v="2765.2"/>
    <n v="450"/>
    <n v="225"/>
    <s v="OK"/>
    <n v="0.76100000000000001"/>
    <n v="-239"/>
    <n v="3.6793692509855452E-2"/>
    <n v="-3.0600000000000023"/>
    <n v="3440.2"/>
    <n v="4.69331514324693"/>
  </r>
  <r>
    <s v="PRD-0106"/>
    <d v="2026-09-06T00:00:00"/>
    <x v="2"/>
    <s v="Beverage Powder"/>
    <x v="2"/>
    <x v="2"/>
    <n v="900"/>
    <n v="962"/>
    <n v="29"/>
    <n v="108.78"/>
    <n v="92.46"/>
    <n v="45"/>
    <n v="4024.86"/>
    <n v="500"/>
    <n v="300"/>
    <s v="OK"/>
    <n v="1.068888888888889"/>
    <n v="62"/>
    <n v="3.0145530145530147E-2"/>
    <n v="16.320000000000007"/>
    <n v="4824.8600000000006"/>
    <n v="5.1713397642015009"/>
  </r>
  <r>
    <s v="PRD-0107"/>
    <d v="2026-09-05T00:00:00"/>
    <x v="0"/>
    <s v="Evaporated Milk"/>
    <x v="2"/>
    <x v="1"/>
    <n v="800"/>
    <n v="584"/>
    <n v="25"/>
    <n v="62.8"/>
    <n v="78.62"/>
    <n v="30"/>
    <n v="2135.1999999999998"/>
    <n v="300"/>
    <n v="250"/>
    <s v="OK"/>
    <n v="0.73"/>
    <n v="-216"/>
    <n v="4.2808219178082189E-2"/>
    <n v="-15.820000000000007"/>
    <n v="2685.2"/>
    <n v="4.8035778175313055"/>
  </r>
  <r>
    <s v="PRD-0108"/>
    <d v="2026-09-28T00:00:00"/>
    <x v="2"/>
    <s v="Beverage Powder"/>
    <x v="1"/>
    <x v="1"/>
    <n v="1000"/>
    <n v="891"/>
    <n v="9"/>
    <n v="73.09"/>
    <n v="108.92"/>
    <n v="10"/>
    <n v="2704.33"/>
    <n v="350"/>
    <n v="200"/>
    <s v="OK"/>
    <n v="0.89100000000000001"/>
    <n v="-109"/>
    <n v="1.0101010101010102E-2"/>
    <n v="-35.83"/>
    <n v="3254.33"/>
    <n v="3.6897165532879819"/>
  </r>
  <r>
    <s v="PRD-0109"/>
    <d v="2026-09-28T00:00:00"/>
    <x v="0"/>
    <s v="Evaporated Milk"/>
    <x v="0"/>
    <x v="2"/>
    <n v="900"/>
    <n v="724"/>
    <n v="16"/>
    <n v="57.15"/>
    <n v="96.18"/>
    <n v="0"/>
    <n v="1943.1"/>
    <n v="400"/>
    <n v="275"/>
    <s v="OK"/>
    <n v="0.80444444444444441"/>
    <n v="-176"/>
    <n v="2.2099447513812154E-2"/>
    <n v="-39.030000000000008"/>
    <n v="2618.1"/>
    <n v="3.6978813559322035"/>
  </r>
  <r>
    <s v="PRD-0110"/>
    <d v="2026-09-28T00:00:00"/>
    <x v="0"/>
    <s v="Evaporated Milk"/>
    <x v="1"/>
    <x v="0"/>
    <n v="1100"/>
    <n v="809"/>
    <n v="35"/>
    <n v="76.819999999999993"/>
    <n v="118.54"/>
    <n v="20"/>
    <n v="3072.8"/>
    <n v="400"/>
    <n v="275"/>
    <s v="OK"/>
    <n v="0.73545454545454547"/>
    <n v="-291"/>
    <n v="4.3263288009888753E-2"/>
    <n v="-41.720000000000013"/>
    <n v="3747.8"/>
    <n v="4.8421188630490954"/>
  </r>
  <r>
    <s v="PRD-0111"/>
    <d v="2026-09-30T00:00:00"/>
    <x v="1"/>
    <s v="Coffee Mix"/>
    <x v="0"/>
    <x v="1"/>
    <n v="1100"/>
    <n v="988"/>
    <n v="54"/>
    <n v="103.82"/>
    <n v="99.49"/>
    <n v="15"/>
    <n v="3529.88"/>
    <n v="500"/>
    <n v="180"/>
    <s v="OK"/>
    <n v="0.89818181818181819"/>
    <n v="-112"/>
    <n v="5.4655870445344132E-2"/>
    <n v="4.3299999999999983"/>
    <n v="4209.88"/>
    <n v="4.5073661670235543"/>
  </r>
  <r>
    <s v="PRD-0112"/>
    <d v="2026-09-21T00:00:00"/>
    <x v="1"/>
    <s v="Coffee Mix"/>
    <x v="1"/>
    <x v="1"/>
    <n v="800"/>
    <n v="718"/>
    <n v="21"/>
    <n v="88.92"/>
    <n v="65.959999999999994"/>
    <n v="45"/>
    <n v="3290.04"/>
    <n v="350"/>
    <n v="275"/>
    <s v="OK"/>
    <n v="0.89749999999999996"/>
    <n v="-82"/>
    <n v="2.9247910863509748E-2"/>
    <n v="22.960000000000008"/>
    <n v="3915.04"/>
    <n v="5.6169870875179342"/>
  </r>
  <r>
    <s v="PRD-0113"/>
    <d v="2026-09-05T00:00:00"/>
    <x v="3"/>
    <s v="Infant Cereal"/>
    <x v="0"/>
    <x v="1"/>
    <n v="1000"/>
    <n v="931"/>
    <n v="5"/>
    <n v="75.77"/>
    <n v="102.61"/>
    <n v="0"/>
    <n v="2576.1799999999998"/>
    <n v="250"/>
    <n v="200"/>
    <s v="OK"/>
    <n v="0.93100000000000005"/>
    <n v="-69"/>
    <n v="5.3705692803437165E-3"/>
    <n v="-26.840000000000003"/>
    <n v="3026.18"/>
    <n v="3.2680129589632827"/>
  </r>
  <r>
    <s v="PRD-0114"/>
    <d v="2026-09-18T00:00:00"/>
    <x v="3"/>
    <s v="Infant Cereal"/>
    <x v="2"/>
    <x v="2"/>
    <n v="1300"/>
    <n v="967"/>
    <n v="37"/>
    <n v="85.63"/>
    <n v="104.97"/>
    <n v="0"/>
    <n v="2397.64"/>
    <n v="450"/>
    <n v="250"/>
    <s v="OK"/>
    <n v="0.74384615384615382"/>
    <n v="-333"/>
    <n v="3.8262668045501554E-2"/>
    <n v="-19.340000000000003"/>
    <n v="3097.64"/>
    <n v="3.3307956989247312"/>
  </r>
  <r>
    <s v="PRD-0115"/>
    <d v="2026-09-28T00:00:00"/>
    <x v="2"/>
    <s v="Beverage Powder"/>
    <x v="0"/>
    <x v="2"/>
    <n v="1000"/>
    <n v="938"/>
    <n v="35"/>
    <n v="105.43"/>
    <n v="102.59"/>
    <n v="5"/>
    <n v="3584.62"/>
    <n v="500"/>
    <n v="300"/>
    <s v="OK"/>
    <n v="0.93799999999999994"/>
    <n v="-62"/>
    <n v="3.7313432835820892E-2"/>
    <n v="2.8400000000000034"/>
    <n v="4384.62"/>
    <n v="4.8556146179401996"/>
  </r>
  <r>
    <s v="PRD-0116"/>
    <d v="2026-09-25T00:00:00"/>
    <x v="1"/>
    <s v="Coffee Mix"/>
    <x v="2"/>
    <x v="1"/>
    <n v="800"/>
    <n v="727"/>
    <n v="17"/>
    <n v="94.35"/>
    <n v="86.53"/>
    <n v="20"/>
    <n v="3774"/>
    <n v="350"/>
    <n v="225"/>
    <s v="OK"/>
    <n v="0.90874999999999995"/>
    <n v="-73"/>
    <n v="2.3383768913342505E-2"/>
    <n v="7.8199999999999932"/>
    <n v="4349"/>
    <n v="6.1253521126760564"/>
  </r>
  <r>
    <s v="PRD-0117"/>
    <d v="2026-09-12T00:00:00"/>
    <x v="2"/>
    <s v="Beverage Powder"/>
    <x v="2"/>
    <x v="0"/>
    <n v="800"/>
    <n v="716"/>
    <n v="6"/>
    <n v="89.55"/>
    <n v="85.86"/>
    <n v="20"/>
    <n v="3582"/>
    <n v="400"/>
    <n v="300"/>
    <s v="OK"/>
    <n v="0.89500000000000002"/>
    <n v="-84"/>
    <n v="8.3798882681564244E-3"/>
    <n v="3.6899999999999977"/>
    <n v="4282"/>
    <n v="6.0309859154929581"/>
  </r>
  <r>
    <s v="PRD-0118"/>
    <d v="2026-09-21T00:00:00"/>
    <x v="1"/>
    <s v="Coffee Mix"/>
    <x v="1"/>
    <x v="2"/>
    <n v="1100"/>
    <n v="1069"/>
    <n v="15"/>
    <n v="104.41"/>
    <n v="96.8"/>
    <n v="30"/>
    <n v="3549.94"/>
    <n v="400"/>
    <n v="200"/>
    <s v="OK"/>
    <n v="0.9718181818181818"/>
    <n v="-31"/>
    <n v="1.4031805425631431E-2"/>
    <n v="7.6099999999999994"/>
    <n v="4149.9400000000005"/>
    <n v="3.9373244781783687"/>
  </r>
  <r>
    <s v="PRD-0119"/>
    <d v="2026-09-17T00:00:00"/>
    <x v="0"/>
    <s v="Evaporated Milk"/>
    <x v="1"/>
    <x v="2"/>
    <n v="1200"/>
    <n v="929"/>
    <n v="18"/>
    <n v="119.47"/>
    <n v="100.45"/>
    <n v="75"/>
    <n v="4420.3900000000003"/>
    <n v="450"/>
    <n v="200"/>
    <s v="OK"/>
    <n v="0.77416666666666667"/>
    <n v="-271"/>
    <n v="1.9375672766415501E-2"/>
    <n v="19.019999999999996"/>
    <n v="5070.3900000000003"/>
    <n v="5.5657409440175636"/>
  </r>
  <r>
    <s v="PRD-0120"/>
    <d v="2026-09-06T00:00:00"/>
    <x v="2"/>
    <s v="Beverage Powder"/>
    <x v="0"/>
    <x v="0"/>
    <n v="1200"/>
    <n v="1024"/>
    <n v="54"/>
    <n v="121.81"/>
    <n v="122.57"/>
    <n v="75"/>
    <n v="4141.54"/>
    <n v="300"/>
    <n v="300"/>
    <s v="OK"/>
    <n v="0.85333333333333339"/>
    <n v="-176"/>
    <n v="5.2734375E-2"/>
    <n v="-0.75999999999999091"/>
    <n v="4741.54"/>
    <n v="4.88818556701030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F980F-4BC3-4A84-A3C6-1EE7DD0F3B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2">
    <pivotField showAll="0"/>
    <pivotField numFmtId="16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numFmtId="2" showAll="0"/>
    <pivotField showAll="0"/>
    <pivotField numFmtId="165" showAll="0"/>
    <pivotField numFmtId="165" showAll="0"/>
    <pivotField numFmtId="165" showAll="0"/>
    <pivotField showAll="0"/>
    <pivotField numFmtId="10" showAll="0"/>
    <pivotField showAll="0"/>
    <pivotField showAll="0"/>
    <pivotField showAll="0"/>
    <pivotField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ned_Units" fld="6" baseField="0" baseItem="0"/>
    <dataField name="Sum of Actual_Uni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A14E8-BF82-40A3-BDA0-6C2BDFFC81B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I17" firstHeaderRow="0" firstDataRow="1" firstDataCol="1"/>
  <pivotFields count="22">
    <pivotField showAll="0"/>
    <pivotField numFmtId="16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dataField="1" numFmtId="165" showAll="0"/>
    <pivotField dataField="1" numFmtId="165" showAll="0"/>
    <pivotField dataField="1" numFmtId="165" showAll="0"/>
    <pivotField showAll="0"/>
    <pivotField numFmtId="10" showAll="0"/>
    <pivotField showAll="0"/>
    <pivotField showAll="0"/>
    <pivotField showAll="0"/>
    <pivotField numFmtId="2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erial_Cost_GHc" fld="12" baseField="0" baseItem="0" numFmtId="165"/>
    <dataField name="Sum of Labour_Cost_GHc" fld="13" baseField="0" baseItem="0" numFmtId="165"/>
    <dataField name="Sum of Overhead_Cost_GHc" fld="1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1F2B4-9F0D-4C6B-89BD-97C7EC1C56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8" firstHeaderRow="1" firstDataRow="1" firstDataCol="1"/>
  <pivotFields count="22">
    <pivotField showAll="0"/>
    <pivotField numFmtId="164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2" showAll="0"/>
    <pivotField dataField="1" showAll="0"/>
    <pivotField numFmtId="165" showAll="0"/>
    <pivotField numFmtId="165" showAll="0"/>
    <pivotField numFmtId="165" showAll="0"/>
    <pivotField showAll="0"/>
    <pivotField numFmtId="10" showAll="0"/>
    <pivotField showAll="0"/>
    <pivotField showAll="0"/>
    <pivotField showAll="0"/>
    <pivotField numFmtId="2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wntime_Minut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646D7-5814-4E88-B2D3-922C5FEB37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C16" firstHeaderRow="0" firstDataRow="1" firstDataCol="1"/>
  <pivotFields count="22">
    <pivotField showAll="0"/>
    <pivotField numFmtId="16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numFmtId="2" showAll="0"/>
    <pivotField showAll="0"/>
    <pivotField numFmtId="165" showAll="0"/>
    <pivotField numFmtId="165" showAll="0"/>
    <pivotField numFmtId="165" showAll="0"/>
    <pivotField showAll="0"/>
    <pivotField numFmtId="10" showAll="0"/>
    <pivotField showAll="0"/>
    <pivotField showAll="0"/>
    <pivotField showAll="0"/>
    <pivotField numFmtId="2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_Units" fld="7" baseField="0" baseItem="0"/>
    <dataField name="Sum of Defective_Unit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ction" displayName="tblProduction" ref="A1:O121">
  <autoFilter ref="A1:O121" xr:uid="{00000000-0009-0000-0100-000001000000}"/>
  <tableColumns count="15">
    <tableColumn id="1" xr3:uid="{00000000-0010-0000-0000-000001000000}" name="Production_ID"/>
    <tableColumn id="2" xr3:uid="{00000000-0010-0000-0000-000002000000}" name="Production_Date"/>
    <tableColumn id="3" xr3:uid="{00000000-0010-0000-0000-000003000000}" name="Product"/>
    <tableColumn id="4" xr3:uid="{00000000-0010-0000-0000-000004000000}" name="Product_Category"/>
    <tableColumn id="5" xr3:uid="{00000000-0010-0000-0000-000005000000}" name="Production_Line"/>
    <tableColumn id="6" xr3:uid="{00000000-0010-0000-0000-000006000000}" name="Shift"/>
    <tableColumn id="7" xr3:uid="{00000000-0010-0000-0000-000007000000}" name="Planned_Units"/>
    <tableColumn id="8" xr3:uid="{00000000-0010-0000-0000-000008000000}" name="Actual_Units"/>
    <tableColumn id="9" xr3:uid="{00000000-0010-0000-0000-000009000000}" name="Defective_Units"/>
    <tableColumn id="10" xr3:uid="{00000000-0010-0000-0000-00000A000000}" name="Raw_Material_Used_kg"/>
    <tableColumn id="11" xr3:uid="{00000000-0010-0000-0000-00000B000000}" name="Standard_Material_kg"/>
    <tableColumn id="12" xr3:uid="{00000000-0010-0000-0000-00000C000000}" name="Downtime_Minutes"/>
    <tableColumn id="13" xr3:uid="{00000000-0010-0000-0000-00000D000000}" name="Material_Cost_GHc"/>
    <tableColumn id="14" xr3:uid="{00000000-0010-0000-0000-00000E000000}" name="Labour_Cost_GHc"/>
    <tableColumn id="15" xr3:uid="{00000000-0010-0000-0000-00000F000000}" name="Overhead_Cost_GH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DB911-F658-4771-8D6C-A99B718C7E46}" name="tblClean" displayName="tblClean" ref="A1:V120">
  <autoFilter ref="A1:V120" xr:uid="{FEEDB911-F658-4771-8D6C-A99B718C7E46}"/>
  <tableColumns count="22">
    <tableColumn id="1" xr3:uid="{971C3AB1-E10E-4228-ADB4-F559D8BE43FC}" name="Production_ID"/>
    <tableColumn id="2" xr3:uid="{D84BDA4D-D59F-482A-A1F6-C9A665BF5880}" name="Production_Date"/>
    <tableColumn id="3" xr3:uid="{FE9D3CD8-10D0-41F6-BEA2-39EAA834E144}" name="Product"/>
    <tableColumn id="4" xr3:uid="{2B8826E4-9697-4581-8411-1FA03B40F159}" name="Product_Category"/>
    <tableColumn id="5" xr3:uid="{06038F56-D52F-4CBD-8604-C13F7EFAD731}" name="Production_Line"/>
    <tableColumn id="6" xr3:uid="{2FC5B803-8E67-4A37-B504-F8904611505C}" name="Shift"/>
    <tableColumn id="7" xr3:uid="{1D6A845B-1B1C-407E-A591-37BC456A0E9E}" name="Planned_Units"/>
    <tableColumn id="8" xr3:uid="{05A4A33E-47BA-4CEB-8614-05BCFE13A84A}" name="Actual_Units"/>
    <tableColumn id="9" xr3:uid="{28F5BF92-9575-4A2B-A3C6-390206A8C772}" name="Defective_Units"/>
    <tableColumn id="10" xr3:uid="{45B95B35-F56A-41B9-B669-C0DF62D92C9E}" name="Raw_Material_Used_kg"/>
    <tableColumn id="11" xr3:uid="{CBECECA0-E0A8-43D8-A480-1D5CEABBDE5E}" name="Standard_Material_kg"/>
    <tableColumn id="12" xr3:uid="{ECAC0284-A986-4D1F-B380-5D3B3033B2E2}" name="Downtime_Minutes"/>
    <tableColumn id="13" xr3:uid="{46FF0E25-80DF-42ED-98CF-F67BA56C1186}" name="Material_Cost_GHc"/>
    <tableColumn id="14" xr3:uid="{2C5E0575-4551-460F-B771-DC03148F6375}" name="Labour_Cost_GHc"/>
    <tableColumn id="15" xr3:uid="{FB3E6D06-2B32-48E4-9F7C-A8F26CB39339}" name="Overhead_Cost_GHc"/>
    <tableColumn id="16" xr3:uid="{8D39A777-56FE-4C79-8429-8938D95A26EC}" name="Data_Quality_Status" dataDxfId="7">
      <calculatedColumnFormula>IF(OR(tblClean[[#This Row],[Shift]]="",tblClean[[#This Row],[Actual_Units]]="",tblClean[[#This Row],[Raw_Material_Used_kg]]=""),"Review","OK")</calculatedColumnFormula>
    </tableColumn>
    <tableColumn id="17" xr3:uid="{97F6F8DB-D328-47E2-AB8A-301328DD138B}" name="Achievement_Pct" dataDxfId="6">
      <calculatedColumnFormula>IFERROR(tblClean[[#This Row],[Actual_Units]]/tblClean[[#This Row],[Planned_Units]],"")</calculatedColumnFormula>
    </tableColumn>
    <tableColumn id="18" xr3:uid="{AC775152-2CFA-4BFD-8481-D9B951381437}" name="Production_Gap_Units" dataDxfId="5">
      <calculatedColumnFormula>IF(OR(tblClean[[#This Row],[Actual_Units]]="",tblClean[[#This Row],[Planned_Units]]=""),"",tblClean[[#This Row],[Actual_Units]]-tblClean[[#This Row],[Planned_Units]])</calculatedColumnFormula>
    </tableColumn>
    <tableColumn id="19" xr3:uid="{B6B9A4C0-6298-4D7B-9EC8-EB40B81EF9BC}" name="Defect_Rate_Pct" dataDxfId="4">
      <calculatedColumnFormula>IFERROR(tblClean[[#This Row],[Defective_Units]]/tblClean[[#This Row],[Actual_Units]],"")</calculatedColumnFormula>
    </tableColumn>
    <tableColumn id="20" xr3:uid="{96AE2139-CFB3-46E4-B97D-BC26EE421302}" name="Material_Variance_kg" dataDxfId="3">
      <calculatedColumnFormula>IF(OR(tblClean[[#This Row],[Raw_Material_Used_kg]]="",tblClean[[#This Row],[Standard_Material_kg]]=""),"",tblClean[[#This Row],[Raw_Material_Used_kg]]-tblClean[[#This Row],[Standard_Material_kg]])</calculatedColumnFormula>
    </tableColumn>
    <tableColumn id="21" xr3:uid="{70AA3939-45C1-4F4F-A820-C62E869B7820}" name="Total_Cost_GHc" dataDxfId="2">
      <calculatedColumnFormula>IF(OR(tblClean[[#This Row],[Material_Cost_GHc]]="",tblClean[[#This Row],[Labour_Cost_GHc]]="",tblClean[[#This Row],[Overhead_Cost_GHc]]=""),"",SUM(tblClean[[#This Row],[Material_Cost_GHc]],tblClean[[#This Row],[Labour_Cost_GHc]],tblClean[[#This Row],[Overhead_Cost_GHc]]))</calculatedColumnFormula>
    </tableColumn>
    <tableColumn id="22" xr3:uid="{0F328211-A58D-4AB4-A037-78B84B0FF2A0}" name="Cost_Per_Good_Unit_GHc" dataDxfId="1">
      <calculatedColumnFormula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/>
  </sheetViews>
  <sheetFormatPr defaultRowHeight="15"/>
  <cols>
    <col min="1" max="1" width="115" customWidth="1"/>
  </cols>
  <sheetData>
    <row r="1" spans="1:1" ht="30" customHeight="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2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1"/>
  <sheetViews>
    <sheetView showGridLines="0" workbookViewId="0">
      <pane ySplit="1" topLeftCell="A2" activePane="bottomLeft" state="frozen"/>
      <selection pane="bottomLeft" activeCell="C8" sqref="C8"/>
    </sheetView>
  </sheetViews>
  <sheetFormatPr defaultRowHeight="15"/>
  <cols>
    <col min="1" max="1" width="15" customWidth="1"/>
    <col min="2" max="2" width="21" customWidth="1"/>
    <col min="3" max="3" width="16" customWidth="1"/>
    <col min="4" max="4" width="18" customWidth="1"/>
    <col min="5" max="5" width="17" customWidth="1"/>
    <col min="6" max="6" width="13" customWidth="1"/>
    <col min="7" max="7" width="15" customWidth="1"/>
    <col min="8" max="8" width="14" customWidth="1"/>
    <col min="9" max="9" width="17" customWidth="1"/>
    <col min="10" max="11" width="22" customWidth="1"/>
    <col min="12" max="12" width="18" customWidth="1"/>
    <col min="13" max="13" width="19" customWidth="1"/>
    <col min="14" max="14" width="17" customWidth="1"/>
    <col min="15" max="15" width="19" customWidth="1"/>
  </cols>
  <sheetData>
    <row r="1" spans="1:15" ht="30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</row>
    <row r="2" spans="1:15">
      <c r="A2" t="s">
        <v>30</v>
      </c>
      <c r="B2" s="5">
        <v>46284</v>
      </c>
      <c r="C2" t="s">
        <v>31</v>
      </c>
      <c r="D2" t="s">
        <v>32</v>
      </c>
      <c r="E2" t="s">
        <v>33</v>
      </c>
      <c r="F2" t="s">
        <v>34</v>
      </c>
      <c r="G2">
        <v>1300</v>
      </c>
      <c r="H2">
        <v>1382</v>
      </c>
      <c r="I2">
        <v>22</v>
      </c>
      <c r="J2" s="6">
        <v>144.63999999999999</v>
      </c>
      <c r="K2" s="6">
        <v>114.41</v>
      </c>
      <c r="L2">
        <v>5</v>
      </c>
      <c r="M2" s="7">
        <v>4049.92</v>
      </c>
      <c r="N2" s="7">
        <v>500</v>
      </c>
      <c r="O2" s="7">
        <v>275</v>
      </c>
    </row>
    <row r="3" spans="1:15">
      <c r="A3" t="s">
        <v>35</v>
      </c>
      <c r="B3" s="5">
        <v>46275</v>
      </c>
      <c r="C3" t="s">
        <v>36</v>
      </c>
      <c r="D3" t="s">
        <v>37</v>
      </c>
      <c r="E3" t="s">
        <v>38</v>
      </c>
      <c r="F3" t="s">
        <v>39</v>
      </c>
      <c r="G3">
        <v>1300</v>
      </c>
      <c r="H3">
        <v>1382</v>
      </c>
      <c r="I3">
        <v>45</v>
      </c>
      <c r="J3" s="6">
        <v>109.51</v>
      </c>
      <c r="K3" s="6">
        <v>119.01</v>
      </c>
      <c r="L3">
        <v>45</v>
      </c>
      <c r="M3" s="7">
        <v>3066.28</v>
      </c>
      <c r="N3" s="7">
        <v>300</v>
      </c>
      <c r="O3" s="7">
        <v>250</v>
      </c>
    </row>
    <row r="4" spans="1:15">
      <c r="A4" t="s">
        <v>40</v>
      </c>
      <c r="B4" s="5">
        <v>46295</v>
      </c>
      <c r="C4" t="s">
        <v>31</v>
      </c>
      <c r="D4" t="s">
        <v>32</v>
      </c>
      <c r="E4" t="s">
        <v>33</v>
      </c>
      <c r="F4" t="s">
        <v>41</v>
      </c>
      <c r="G4">
        <v>800</v>
      </c>
      <c r="H4">
        <v>820</v>
      </c>
      <c r="I4">
        <v>40</v>
      </c>
      <c r="J4" s="6">
        <v>102.55</v>
      </c>
      <c r="K4" s="6">
        <v>70.45</v>
      </c>
      <c r="L4">
        <v>0</v>
      </c>
      <c r="M4" s="7">
        <v>3486.7</v>
      </c>
      <c r="N4" s="7">
        <v>450</v>
      </c>
      <c r="O4" s="7">
        <v>180</v>
      </c>
    </row>
    <row r="5" spans="1:15">
      <c r="A5" t="s">
        <v>42</v>
      </c>
      <c r="B5" s="5">
        <v>46295</v>
      </c>
      <c r="C5" t="s">
        <v>36</v>
      </c>
      <c r="D5" t="s">
        <v>37</v>
      </c>
      <c r="E5" t="s">
        <v>43</v>
      </c>
      <c r="F5" t="s">
        <v>34</v>
      </c>
      <c r="G5">
        <v>800</v>
      </c>
      <c r="H5">
        <v>797</v>
      </c>
      <c r="I5">
        <v>18</v>
      </c>
      <c r="J5" s="6">
        <v>100.6</v>
      </c>
      <c r="K5" s="6">
        <v>75.739999999999995</v>
      </c>
      <c r="L5">
        <v>60</v>
      </c>
      <c r="M5" s="7">
        <v>3420.4</v>
      </c>
      <c r="N5" s="7">
        <v>350</v>
      </c>
      <c r="O5" s="7">
        <v>225</v>
      </c>
    </row>
    <row r="6" spans="1:15">
      <c r="A6" t="s">
        <v>44</v>
      </c>
      <c r="B6" s="5">
        <v>46285</v>
      </c>
      <c r="C6" t="s">
        <v>45</v>
      </c>
      <c r="D6" t="s">
        <v>46</v>
      </c>
      <c r="E6" t="s">
        <v>33</v>
      </c>
      <c r="F6" t="s">
        <v>34</v>
      </c>
      <c r="G6">
        <v>1300</v>
      </c>
      <c r="H6">
        <v>1264</v>
      </c>
      <c r="I6">
        <v>38</v>
      </c>
      <c r="J6" s="6">
        <v>127.44</v>
      </c>
      <c r="K6" s="6">
        <v>113.26</v>
      </c>
      <c r="L6">
        <v>0</v>
      </c>
      <c r="M6" s="7">
        <v>4332.96</v>
      </c>
      <c r="N6" s="7">
        <v>350</v>
      </c>
      <c r="O6" s="7">
        <v>275</v>
      </c>
    </row>
    <row r="7" spans="1:15">
      <c r="A7" t="s">
        <v>47</v>
      </c>
      <c r="B7" s="5">
        <v>46295</v>
      </c>
      <c r="C7" t="s">
        <v>48</v>
      </c>
      <c r="D7" t="s">
        <v>49</v>
      </c>
      <c r="E7" t="s">
        <v>43</v>
      </c>
      <c r="F7" t="s">
        <v>41</v>
      </c>
      <c r="G7">
        <v>800</v>
      </c>
      <c r="H7">
        <v>746</v>
      </c>
      <c r="I7">
        <v>30</v>
      </c>
      <c r="J7" s="6">
        <v>94.78</v>
      </c>
      <c r="K7" s="6">
        <v>73.3</v>
      </c>
      <c r="L7">
        <v>15</v>
      </c>
      <c r="M7" s="7">
        <v>2653.84</v>
      </c>
      <c r="N7" s="7">
        <v>350</v>
      </c>
      <c r="O7" s="7">
        <v>180</v>
      </c>
    </row>
    <row r="8" spans="1:15">
      <c r="A8" t="s">
        <v>50</v>
      </c>
      <c r="B8" s="5">
        <v>46282</v>
      </c>
      <c r="C8" t="s">
        <v>36</v>
      </c>
      <c r="D8" t="s">
        <v>37</v>
      </c>
      <c r="E8" t="s">
        <v>43</v>
      </c>
      <c r="G8">
        <v>1300</v>
      </c>
      <c r="H8">
        <v>1013</v>
      </c>
      <c r="I8">
        <v>46</v>
      </c>
      <c r="J8" s="6">
        <v>107.91</v>
      </c>
      <c r="K8" s="6">
        <v>138.51</v>
      </c>
      <c r="L8">
        <v>60</v>
      </c>
      <c r="M8" s="7">
        <v>3668.94</v>
      </c>
      <c r="N8" s="7">
        <v>300</v>
      </c>
      <c r="O8" s="7">
        <v>225</v>
      </c>
    </row>
    <row r="9" spans="1:15">
      <c r="A9" t="s">
        <v>51</v>
      </c>
      <c r="B9" s="5">
        <v>46281</v>
      </c>
      <c r="C9" t="s">
        <v>45</v>
      </c>
      <c r="D9" t="s">
        <v>46</v>
      </c>
      <c r="E9" t="s">
        <v>38</v>
      </c>
      <c r="F9" t="s">
        <v>39</v>
      </c>
      <c r="G9">
        <v>1000</v>
      </c>
      <c r="H9">
        <v>947</v>
      </c>
      <c r="I9">
        <v>19</v>
      </c>
      <c r="J9" s="6">
        <v>107.94</v>
      </c>
      <c r="K9" s="6">
        <v>104.46</v>
      </c>
      <c r="L9">
        <v>15</v>
      </c>
      <c r="M9" s="7">
        <v>4317.6000000000004</v>
      </c>
      <c r="N9" s="7">
        <v>400</v>
      </c>
      <c r="O9" s="7">
        <v>225</v>
      </c>
    </row>
    <row r="10" spans="1:15">
      <c r="A10" t="s">
        <v>52</v>
      </c>
      <c r="B10" s="5">
        <v>46293</v>
      </c>
      <c r="C10" t="s">
        <v>45</v>
      </c>
      <c r="D10" t="s">
        <v>46</v>
      </c>
      <c r="E10" t="s">
        <v>38</v>
      </c>
      <c r="F10" t="s">
        <v>39</v>
      </c>
      <c r="G10">
        <v>1000</v>
      </c>
      <c r="H10">
        <v>735</v>
      </c>
      <c r="I10">
        <v>27</v>
      </c>
      <c r="J10" s="6">
        <v>67.97</v>
      </c>
      <c r="K10" s="6">
        <v>96.83</v>
      </c>
      <c r="L10">
        <v>60</v>
      </c>
      <c r="M10" s="7">
        <v>1903.16</v>
      </c>
      <c r="N10" s="7">
        <v>400</v>
      </c>
      <c r="O10" s="7">
        <v>250</v>
      </c>
    </row>
    <row r="11" spans="1:15">
      <c r="A11" t="s">
        <v>53</v>
      </c>
      <c r="B11" s="5">
        <v>46275</v>
      </c>
      <c r="C11" t="s">
        <v>36</v>
      </c>
      <c r="D11" t="s">
        <v>37</v>
      </c>
      <c r="E11" t="s">
        <v>38</v>
      </c>
      <c r="F11" t="s">
        <v>39</v>
      </c>
      <c r="G11">
        <v>900</v>
      </c>
      <c r="H11">
        <v>835</v>
      </c>
      <c r="I11">
        <v>15</v>
      </c>
      <c r="J11" s="6">
        <v>78.92</v>
      </c>
      <c r="K11" s="6">
        <v>73.819999999999993</v>
      </c>
      <c r="L11">
        <v>0</v>
      </c>
      <c r="M11" s="7">
        <v>2683.28</v>
      </c>
      <c r="N11" s="7">
        <v>350</v>
      </c>
      <c r="O11" s="7">
        <v>225</v>
      </c>
    </row>
    <row r="12" spans="1:15">
      <c r="A12" t="s">
        <v>54</v>
      </c>
      <c r="B12" s="5">
        <v>46273</v>
      </c>
      <c r="C12" t="s">
        <v>48</v>
      </c>
      <c r="D12" t="s">
        <v>49</v>
      </c>
      <c r="E12" t="s">
        <v>33</v>
      </c>
      <c r="F12" t="s">
        <v>39</v>
      </c>
      <c r="G12">
        <v>900</v>
      </c>
      <c r="H12">
        <v>960</v>
      </c>
      <c r="I12">
        <v>35</v>
      </c>
      <c r="J12" s="6">
        <v>90.08</v>
      </c>
      <c r="K12" s="6">
        <v>86.85</v>
      </c>
      <c r="L12">
        <v>5</v>
      </c>
      <c r="M12" s="7">
        <v>3332.96</v>
      </c>
      <c r="N12" s="7">
        <v>450</v>
      </c>
      <c r="O12" s="7">
        <v>180</v>
      </c>
    </row>
    <row r="13" spans="1:15">
      <c r="A13" t="s">
        <v>55</v>
      </c>
      <c r="B13" s="5">
        <v>46292</v>
      </c>
      <c r="C13" t="s">
        <v>36</v>
      </c>
      <c r="D13" t="s">
        <v>37</v>
      </c>
      <c r="E13" t="s">
        <v>33</v>
      </c>
      <c r="F13" t="s">
        <v>39</v>
      </c>
      <c r="G13">
        <v>800</v>
      </c>
      <c r="H13">
        <v>759</v>
      </c>
      <c r="I13">
        <v>11</v>
      </c>
      <c r="J13" s="6">
        <v>83.88</v>
      </c>
      <c r="K13" s="6">
        <v>72.709999999999994</v>
      </c>
      <c r="L13">
        <v>20</v>
      </c>
      <c r="M13" s="7">
        <v>2348.64</v>
      </c>
      <c r="N13" s="7">
        <v>450</v>
      </c>
      <c r="O13" s="7">
        <v>180</v>
      </c>
    </row>
    <row r="14" spans="1:15">
      <c r="A14" t="s">
        <v>56</v>
      </c>
      <c r="B14" s="5">
        <v>46268</v>
      </c>
      <c r="C14" t="s">
        <v>45</v>
      </c>
      <c r="D14" t="s">
        <v>46</v>
      </c>
      <c r="E14" t="s">
        <v>33</v>
      </c>
      <c r="F14" t="s">
        <v>41</v>
      </c>
      <c r="G14">
        <v>800</v>
      </c>
      <c r="H14">
        <v>701</v>
      </c>
      <c r="I14">
        <v>27</v>
      </c>
      <c r="J14" s="6">
        <v>82.36</v>
      </c>
      <c r="K14" s="6">
        <v>79.83</v>
      </c>
      <c r="L14">
        <v>45</v>
      </c>
      <c r="M14" s="7">
        <v>3294.4</v>
      </c>
      <c r="N14" s="7">
        <v>400</v>
      </c>
      <c r="O14" s="7">
        <v>275</v>
      </c>
    </row>
    <row r="15" spans="1:15">
      <c r="A15" t="s">
        <v>57</v>
      </c>
      <c r="B15" s="5">
        <v>46290</v>
      </c>
      <c r="C15" t="s">
        <v>31</v>
      </c>
      <c r="D15" t="s">
        <v>32</v>
      </c>
      <c r="E15" t="s">
        <v>33</v>
      </c>
      <c r="F15" t="s">
        <v>34</v>
      </c>
      <c r="G15">
        <v>1200</v>
      </c>
      <c r="H15">
        <v>1103</v>
      </c>
      <c r="I15">
        <v>30</v>
      </c>
      <c r="J15" s="6">
        <v>137.81</v>
      </c>
      <c r="K15" s="6">
        <v>101.96</v>
      </c>
      <c r="L15">
        <v>5</v>
      </c>
      <c r="M15" s="7">
        <v>5098.97</v>
      </c>
      <c r="N15" s="7">
        <v>300</v>
      </c>
      <c r="O15" s="7">
        <v>225</v>
      </c>
    </row>
    <row r="16" spans="1:15">
      <c r="A16" t="s">
        <v>58</v>
      </c>
      <c r="B16" s="5">
        <v>46283</v>
      </c>
      <c r="C16" t="s">
        <v>31</v>
      </c>
      <c r="D16" t="s">
        <v>32</v>
      </c>
      <c r="E16" t="s">
        <v>43</v>
      </c>
      <c r="F16" t="s">
        <v>39</v>
      </c>
      <c r="G16">
        <v>1200</v>
      </c>
      <c r="H16">
        <v>1257</v>
      </c>
      <c r="I16">
        <v>46</v>
      </c>
      <c r="J16" s="6">
        <v>101.41</v>
      </c>
      <c r="K16" s="6">
        <v>97</v>
      </c>
      <c r="L16">
        <v>10</v>
      </c>
      <c r="M16" s="7">
        <v>3447.94</v>
      </c>
      <c r="N16" s="7">
        <v>350</v>
      </c>
      <c r="O16" s="7">
        <v>200</v>
      </c>
    </row>
    <row r="17" spans="1:15">
      <c r="A17" t="s">
        <v>59</v>
      </c>
      <c r="B17" s="5">
        <v>46270</v>
      </c>
      <c r="C17" t="s">
        <v>48</v>
      </c>
      <c r="D17" t="s">
        <v>49</v>
      </c>
      <c r="E17" t="s">
        <v>33</v>
      </c>
      <c r="F17" t="s">
        <v>34</v>
      </c>
      <c r="G17">
        <v>1200</v>
      </c>
      <c r="H17">
        <v>1265</v>
      </c>
      <c r="I17">
        <v>63</v>
      </c>
      <c r="J17" s="6">
        <v>161.66999999999999</v>
      </c>
      <c r="K17" s="6">
        <v>118.02</v>
      </c>
      <c r="L17">
        <v>45</v>
      </c>
      <c r="M17" s="7">
        <v>6466.8</v>
      </c>
      <c r="N17" s="7">
        <v>250</v>
      </c>
      <c r="O17" s="7">
        <v>300</v>
      </c>
    </row>
    <row r="18" spans="1:15">
      <c r="A18" t="s">
        <v>60</v>
      </c>
      <c r="B18" s="5">
        <v>46287</v>
      </c>
      <c r="C18" t="s">
        <v>45</v>
      </c>
      <c r="D18" t="s">
        <v>46</v>
      </c>
      <c r="E18" t="s">
        <v>33</v>
      </c>
      <c r="F18" t="s">
        <v>34</v>
      </c>
      <c r="G18">
        <v>1000</v>
      </c>
      <c r="H18">
        <v>733</v>
      </c>
      <c r="I18">
        <v>29</v>
      </c>
      <c r="J18" s="6">
        <v>72.64</v>
      </c>
      <c r="K18" s="6">
        <v>107.3</v>
      </c>
      <c r="L18">
        <v>15</v>
      </c>
      <c r="M18" s="7">
        <v>2687.68</v>
      </c>
      <c r="N18" s="7">
        <v>400</v>
      </c>
      <c r="O18" s="7">
        <v>300</v>
      </c>
    </row>
    <row r="19" spans="1:15">
      <c r="A19" t="s">
        <v>61</v>
      </c>
      <c r="B19" s="5">
        <v>46267</v>
      </c>
      <c r="C19" t="s">
        <v>31</v>
      </c>
      <c r="D19" t="s">
        <v>32</v>
      </c>
      <c r="E19" t="s">
        <v>43</v>
      </c>
      <c r="F19" t="s">
        <v>34</v>
      </c>
      <c r="G19">
        <v>1300</v>
      </c>
      <c r="H19">
        <v>1369</v>
      </c>
      <c r="I19">
        <v>48</v>
      </c>
      <c r="J19" s="6">
        <v>118.3</v>
      </c>
      <c r="K19" s="6">
        <v>128.34</v>
      </c>
      <c r="L19">
        <v>5</v>
      </c>
      <c r="M19" s="7">
        <v>4022.2</v>
      </c>
      <c r="N19" s="7">
        <v>350</v>
      </c>
      <c r="O19" s="7">
        <v>250</v>
      </c>
    </row>
    <row r="20" spans="1:15">
      <c r="A20" t="s">
        <v>62</v>
      </c>
      <c r="B20" s="5">
        <v>46282</v>
      </c>
      <c r="C20" t="s">
        <v>31</v>
      </c>
      <c r="D20" t="s">
        <v>32</v>
      </c>
      <c r="E20" t="s">
        <v>43</v>
      </c>
      <c r="F20" t="s">
        <v>39</v>
      </c>
      <c r="G20">
        <v>1200</v>
      </c>
      <c r="I20">
        <v>41</v>
      </c>
      <c r="J20" s="6">
        <v>128.13999999999999</v>
      </c>
      <c r="K20" s="6">
        <v>112.63</v>
      </c>
      <c r="L20">
        <v>10</v>
      </c>
      <c r="M20" s="7">
        <v>3587.92</v>
      </c>
      <c r="N20" s="7">
        <v>500</v>
      </c>
      <c r="O20" s="7">
        <v>275</v>
      </c>
    </row>
    <row r="21" spans="1:15">
      <c r="A21" t="s">
        <v>63</v>
      </c>
      <c r="B21" s="5">
        <v>46276</v>
      </c>
      <c r="C21" t="s">
        <v>48</v>
      </c>
      <c r="D21" t="s">
        <v>49</v>
      </c>
      <c r="E21" t="s">
        <v>43</v>
      </c>
      <c r="F21" t="s">
        <v>34</v>
      </c>
      <c r="G21">
        <v>1300</v>
      </c>
      <c r="H21">
        <v>988</v>
      </c>
      <c r="I21">
        <v>31</v>
      </c>
      <c r="J21" s="6">
        <v>122.74</v>
      </c>
      <c r="K21" s="6">
        <v>104.2</v>
      </c>
      <c r="L21">
        <v>45</v>
      </c>
      <c r="M21" s="7">
        <v>4173.16</v>
      </c>
      <c r="N21" s="7">
        <v>450</v>
      </c>
      <c r="O21" s="7">
        <v>275</v>
      </c>
    </row>
    <row r="22" spans="1:15">
      <c r="A22" t="s">
        <v>64</v>
      </c>
      <c r="B22" s="5">
        <v>46282</v>
      </c>
      <c r="C22" t="s">
        <v>36</v>
      </c>
      <c r="D22" t="s">
        <v>37</v>
      </c>
      <c r="E22" t="s">
        <v>38</v>
      </c>
      <c r="F22" t="s">
        <v>39</v>
      </c>
      <c r="G22">
        <v>1200</v>
      </c>
      <c r="H22">
        <v>927</v>
      </c>
      <c r="I22">
        <v>46</v>
      </c>
      <c r="J22" s="6">
        <v>103.55</v>
      </c>
      <c r="K22" s="6">
        <v>111.52</v>
      </c>
      <c r="L22">
        <v>10</v>
      </c>
      <c r="M22" s="7">
        <v>2899.4</v>
      </c>
      <c r="N22" s="7">
        <v>250</v>
      </c>
      <c r="O22" s="7">
        <v>225</v>
      </c>
    </row>
    <row r="23" spans="1:15">
      <c r="A23" t="s">
        <v>65</v>
      </c>
      <c r="B23" s="5">
        <v>46277</v>
      </c>
      <c r="C23" t="s">
        <v>36</v>
      </c>
      <c r="D23" t="s">
        <v>37</v>
      </c>
      <c r="E23" t="s">
        <v>43</v>
      </c>
      <c r="F23" t="s">
        <v>41</v>
      </c>
      <c r="G23">
        <v>1000</v>
      </c>
      <c r="H23">
        <v>813</v>
      </c>
      <c r="I23">
        <v>14</v>
      </c>
      <c r="J23" s="6">
        <v>101.78</v>
      </c>
      <c r="K23" s="6">
        <v>88.99</v>
      </c>
      <c r="L23">
        <v>30</v>
      </c>
      <c r="M23" s="7">
        <v>2849.84</v>
      </c>
      <c r="N23" s="7">
        <v>300</v>
      </c>
      <c r="O23" s="7">
        <v>300</v>
      </c>
    </row>
    <row r="24" spans="1:15">
      <c r="A24" t="s">
        <v>66</v>
      </c>
      <c r="B24" s="5">
        <v>46282</v>
      </c>
      <c r="C24" t="s">
        <v>48</v>
      </c>
      <c r="D24" t="s">
        <v>49</v>
      </c>
      <c r="E24" t="s">
        <v>33</v>
      </c>
      <c r="F24" t="s">
        <v>41</v>
      </c>
      <c r="G24">
        <v>1300</v>
      </c>
      <c r="H24">
        <v>1396</v>
      </c>
      <c r="I24">
        <v>38</v>
      </c>
      <c r="J24" s="6">
        <v>157.08000000000001</v>
      </c>
      <c r="K24" s="6">
        <v>119.3</v>
      </c>
      <c r="L24">
        <v>75</v>
      </c>
      <c r="M24" s="7">
        <v>5340.72</v>
      </c>
      <c r="N24" s="7">
        <v>300</v>
      </c>
      <c r="O24" s="7">
        <v>275</v>
      </c>
    </row>
    <row r="25" spans="1:15">
      <c r="A25" t="s">
        <v>67</v>
      </c>
      <c r="B25" s="5">
        <v>46268</v>
      </c>
      <c r="C25" t="s">
        <v>31</v>
      </c>
      <c r="D25" t="s">
        <v>32</v>
      </c>
      <c r="E25" t="s">
        <v>33</v>
      </c>
      <c r="F25" t="s">
        <v>39</v>
      </c>
      <c r="G25">
        <v>1300</v>
      </c>
      <c r="H25">
        <v>1282</v>
      </c>
      <c r="I25">
        <v>63</v>
      </c>
      <c r="J25" s="6">
        <v>139.96</v>
      </c>
      <c r="K25" s="6">
        <v>120.48</v>
      </c>
      <c r="L25">
        <v>20</v>
      </c>
      <c r="M25" s="7">
        <v>4758.6400000000003</v>
      </c>
      <c r="N25" s="7">
        <v>500</v>
      </c>
      <c r="O25" s="7">
        <v>225</v>
      </c>
    </row>
    <row r="26" spans="1:15">
      <c r="A26" t="s">
        <v>68</v>
      </c>
      <c r="B26" s="5">
        <v>46279</v>
      </c>
      <c r="C26" t="s">
        <v>45</v>
      </c>
      <c r="D26" t="s">
        <v>46</v>
      </c>
      <c r="E26" t="s">
        <v>43</v>
      </c>
      <c r="F26" t="s">
        <v>41</v>
      </c>
      <c r="G26">
        <v>800</v>
      </c>
      <c r="H26">
        <v>638</v>
      </c>
      <c r="I26">
        <v>12</v>
      </c>
      <c r="J26" s="6">
        <v>70.91</v>
      </c>
      <c r="K26" s="6">
        <v>67.17</v>
      </c>
      <c r="L26">
        <v>0</v>
      </c>
      <c r="M26" s="7">
        <v>1985.48</v>
      </c>
      <c r="N26" s="7">
        <v>500</v>
      </c>
      <c r="O26" s="7">
        <v>225</v>
      </c>
    </row>
    <row r="27" spans="1:15">
      <c r="A27" t="s">
        <v>69</v>
      </c>
      <c r="B27" s="5">
        <v>46295</v>
      </c>
      <c r="C27" t="s">
        <v>45</v>
      </c>
      <c r="D27" t="s">
        <v>46</v>
      </c>
      <c r="E27" t="s">
        <v>33</v>
      </c>
      <c r="F27" t="s">
        <v>34</v>
      </c>
      <c r="G27">
        <v>1300</v>
      </c>
      <c r="H27">
        <v>1016</v>
      </c>
      <c r="I27">
        <v>27</v>
      </c>
      <c r="J27" s="6">
        <v>99.22</v>
      </c>
      <c r="K27" s="6">
        <v>106.6</v>
      </c>
      <c r="L27">
        <v>20</v>
      </c>
      <c r="M27" s="7">
        <v>3671.14</v>
      </c>
      <c r="N27" s="7">
        <v>450</v>
      </c>
      <c r="O27" s="7">
        <v>200</v>
      </c>
    </row>
    <row r="28" spans="1:15">
      <c r="A28" t="s">
        <v>70</v>
      </c>
      <c r="B28" s="5">
        <v>46284</v>
      </c>
      <c r="C28" t="s">
        <v>48</v>
      </c>
      <c r="D28" t="s">
        <v>49</v>
      </c>
      <c r="E28" t="s">
        <v>43</v>
      </c>
      <c r="F28" t="s">
        <v>34</v>
      </c>
      <c r="G28">
        <v>1200</v>
      </c>
      <c r="H28">
        <v>1098</v>
      </c>
      <c r="I28">
        <v>23</v>
      </c>
      <c r="J28" s="6">
        <v>127.71</v>
      </c>
      <c r="K28" s="6">
        <v>103.4</v>
      </c>
      <c r="L28">
        <v>15</v>
      </c>
      <c r="M28" s="7">
        <v>4342.1400000000003</v>
      </c>
      <c r="N28" s="7">
        <v>500</v>
      </c>
      <c r="O28" s="7">
        <v>180</v>
      </c>
    </row>
    <row r="29" spans="1:15">
      <c r="A29" t="s">
        <v>71</v>
      </c>
      <c r="B29" s="5">
        <v>46272</v>
      </c>
      <c r="C29" t="s">
        <v>45</v>
      </c>
      <c r="D29" t="s">
        <v>46</v>
      </c>
      <c r="E29" t="s">
        <v>43</v>
      </c>
      <c r="F29" t="s">
        <v>39</v>
      </c>
      <c r="G29">
        <v>800</v>
      </c>
      <c r="H29">
        <v>587</v>
      </c>
      <c r="I29">
        <v>19</v>
      </c>
      <c r="J29" s="6">
        <v>70.27</v>
      </c>
      <c r="K29" s="6">
        <v>84.87</v>
      </c>
      <c r="L29">
        <v>45</v>
      </c>
      <c r="M29" s="7">
        <v>2178.37</v>
      </c>
      <c r="N29" s="7">
        <v>500</v>
      </c>
      <c r="O29" s="7">
        <v>275</v>
      </c>
    </row>
    <row r="30" spans="1:15">
      <c r="A30" t="s">
        <v>72</v>
      </c>
      <c r="B30" s="5">
        <v>46272</v>
      </c>
      <c r="C30" t="s">
        <v>31</v>
      </c>
      <c r="D30" t="s">
        <v>32</v>
      </c>
      <c r="E30" t="s">
        <v>38</v>
      </c>
      <c r="F30" t="s">
        <v>39</v>
      </c>
      <c r="G30">
        <v>1300</v>
      </c>
      <c r="H30">
        <v>989</v>
      </c>
      <c r="I30">
        <v>40</v>
      </c>
      <c r="J30" s="6">
        <v>94.98</v>
      </c>
      <c r="K30" s="6">
        <v>120.93</v>
      </c>
      <c r="L30">
        <v>60</v>
      </c>
      <c r="M30" s="7">
        <v>2944.38</v>
      </c>
      <c r="N30" s="7">
        <v>500</v>
      </c>
      <c r="O30" s="7">
        <v>250</v>
      </c>
    </row>
    <row r="31" spans="1:15">
      <c r="A31" t="s">
        <v>73</v>
      </c>
      <c r="B31" s="5">
        <v>46274</v>
      </c>
      <c r="C31" t="s">
        <v>74</v>
      </c>
      <c r="D31" t="s">
        <v>49</v>
      </c>
      <c r="E31" t="s">
        <v>33</v>
      </c>
      <c r="F31" t="s">
        <v>39</v>
      </c>
      <c r="G31">
        <v>900</v>
      </c>
      <c r="H31">
        <v>817</v>
      </c>
      <c r="I31">
        <v>40</v>
      </c>
      <c r="J31" s="6">
        <v>83.02</v>
      </c>
      <c r="K31" s="6">
        <v>80.16</v>
      </c>
      <c r="L31">
        <v>20</v>
      </c>
      <c r="M31" s="7">
        <v>2324.56</v>
      </c>
      <c r="N31" s="7">
        <v>300</v>
      </c>
      <c r="O31" s="7">
        <v>275</v>
      </c>
    </row>
    <row r="32" spans="1:15">
      <c r="A32" t="s">
        <v>75</v>
      </c>
      <c r="B32" s="5">
        <v>46281</v>
      </c>
      <c r="C32" t="s">
        <v>45</v>
      </c>
      <c r="D32" t="s">
        <v>46</v>
      </c>
      <c r="E32" t="s">
        <v>38</v>
      </c>
      <c r="F32" t="s">
        <v>34</v>
      </c>
      <c r="G32">
        <v>1000</v>
      </c>
      <c r="H32">
        <v>745</v>
      </c>
      <c r="I32">
        <v>35</v>
      </c>
      <c r="J32" s="6">
        <v>64.52</v>
      </c>
      <c r="K32" s="6">
        <v>106.59</v>
      </c>
      <c r="L32">
        <v>10</v>
      </c>
      <c r="M32" s="7">
        <v>2387.2399999999998</v>
      </c>
      <c r="N32" s="7">
        <v>300</v>
      </c>
      <c r="O32" s="7">
        <v>275</v>
      </c>
    </row>
    <row r="33" spans="1:15">
      <c r="A33" t="s">
        <v>76</v>
      </c>
      <c r="B33" s="5">
        <v>46279</v>
      </c>
      <c r="C33" t="s">
        <v>36</v>
      </c>
      <c r="D33" t="s">
        <v>37</v>
      </c>
      <c r="E33" t="s">
        <v>33</v>
      </c>
      <c r="F33" t="s">
        <v>39</v>
      </c>
      <c r="G33">
        <v>1200</v>
      </c>
      <c r="H33">
        <v>1040</v>
      </c>
      <c r="I33">
        <v>29</v>
      </c>
      <c r="J33" s="6">
        <v>128.93</v>
      </c>
      <c r="K33" s="6">
        <v>98.11</v>
      </c>
      <c r="L33">
        <v>15</v>
      </c>
      <c r="M33" s="7">
        <v>3996.83</v>
      </c>
      <c r="N33" s="7">
        <v>250</v>
      </c>
      <c r="O33" s="7">
        <v>180</v>
      </c>
    </row>
    <row r="34" spans="1:15">
      <c r="A34" t="s">
        <v>77</v>
      </c>
      <c r="B34" s="5">
        <v>46288</v>
      </c>
      <c r="C34" t="s">
        <v>36</v>
      </c>
      <c r="D34" t="s">
        <v>37</v>
      </c>
      <c r="E34" t="s">
        <v>43</v>
      </c>
      <c r="F34" t="s">
        <v>39</v>
      </c>
      <c r="G34">
        <v>800</v>
      </c>
      <c r="H34">
        <v>819</v>
      </c>
      <c r="I34">
        <v>36</v>
      </c>
      <c r="J34" s="6">
        <v>66.760000000000005</v>
      </c>
      <c r="K34" s="6">
        <v>71.06</v>
      </c>
      <c r="L34">
        <v>20</v>
      </c>
      <c r="M34" s="7">
        <v>2069.56</v>
      </c>
      <c r="N34" s="7">
        <v>300</v>
      </c>
      <c r="O34" s="7">
        <v>250</v>
      </c>
    </row>
    <row r="35" spans="1:15">
      <c r="A35" t="s">
        <v>78</v>
      </c>
      <c r="B35" s="5">
        <v>46268</v>
      </c>
      <c r="C35" t="s">
        <v>36</v>
      </c>
      <c r="D35" t="s">
        <v>37</v>
      </c>
      <c r="E35" t="s">
        <v>43</v>
      </c>
      <c r="F35" t="s">
        <v>34</v>
      </c>
      <c r="G35">
        <v>800</v>
      </c>
      <c r="H35">
        <v>746</v>
      </c>
      <c r="I35">
        <v>35</v>
      </c>
      <c r="J35" s="6">
        <v>89.09</v>
      </c>
      <c r="K35" s="6">
        <v>68.59</v>
      </c>
      <c r="L35">
        <v>75</v>
      </c>
      <c r="M35" s="7">
        <v>3563.6</v>
      </c>
      <c r="N35" s="7">
        <v>400</v>
      </c>
      <c r="O35" s="7">
        <v>275</v>
      </c>
    </row>
    <row r="36" spans="1:15">
      <c r="A36" t="s">
        <v>79</v>
      </c>
      <c r="B36" s="5">
        <v>46282</v>
      </c>
      <c r="C36" t="s">
        <v>48</v>
      </c>
      <c r="D36" t="s">
        <v>49</v>
      </c>
      <c r="E36" t="s">
        <v>33</v>
      </c>
      <c r="F36" t="s">
        <v>39</v>
      </c>
      <c r="G36">
        <v>1000</v>
      </c>
      <c r="H36">
        <v>866</v>
      </c>
      <c r="I36">
        <v>24</v>
      </c>
      <c r="J36" s="6">
        <v>79.52</v>
      </c>
      <c r="K36" s="6">
        <v>105.92</v>
      </c>
      <c r="L36">
        <v>15</v>
      </c>
      <c r="M36" s="7">
        <v>2226.56</v>
      </c>
      <c r="N36" s="7">
        <v>400</v>
      </c>
      <c r="O36" s="7">
        <v>275</v>
      </c>
    </row>
    <row r="37" spans="1:15">
      <c r="A37" t="s">
        <v>80</v>
      </c>
      <c r="B37" s="5">
        <v>46284</v>
      </c>
      <c r="C37" t="s">
        <v>36</v>
      </c>
      <c r="D37" t="s">
        <v>37</v>
      </c>
      <c r="E37" t="s">
        <v>38</v>
      </c>
      <c r="F37" t="s">
        <v>41</v>
      </c>
      <c r="G37">
        <v>1000</v>
      </c>
      <c r="H37">
        <v>759</v>
      </c>
      <c r="I37">
        <v>14</v>
      </c>
      <c r="J37" s="6">
        <v>79.02</v>
      </c>
      <c r="K37" s="6">
        <v>94.31</v>
      </c>
      <c r="L37">
        <v>45</v>
      </c>
      <c r="M37" s="7">
        <v>2449.62</v>
      </c>
      <c r="N37" s="7">
        <v>400</v>
      </c>
      <c r="O37" s="7">
        <v>300</v>
      </c>
    </row>
    <row r="38" spans="1:15">
      <c r="A38" t="s">
        <v>81</v>
      </c>
      <c r="B38" s="5">
        <v>46288</v>
      </c>
      <c r="C38" t="s">
        <v>36</v>
      </c>
      <c r="D38" t="s">
        <v>37</v>
      </c>
      <c r="E38" t="s">
        <v>33</v>
      </c>
      <c r="F38" t="s">
        <v>39</v>
      </c>
      <c r="G38">
        <v>1000</v>
      </c>
      <c r="H38">
        <v>760</v>
      </c>
      <c r="I38">
        <v>13</v>
      </c>
      <c r="J38" s="6">
        <v>90.88</v>
      </c>
      <c r="K38" s="6">
        <v>100.22</v>
      </c>
      <c r="L38">
        <v>75</v>
      </c>
      <c r="M38" s="7">
        <v>2817.28</v>
      </c>
      <c r="N38" s="7">
        <v>500</v>
      </c>
      <c r="O38" s="7">
        <v>200</v>
      </c>
    </row>
    <row r="39" spans="1:15">
      <c r="A39" t="s">
        <v>82</v>
      </c>
      <c r="B39" s="5">
        <v>46286</v>
      </c>
      <c r="C39" t="s">
        <v>31</v>
      </c>
      <c r="D39" t="s">
        <v>32</v>
      </c>
      <c r="E39" t="s">
        <v>43</v>
      </c>
      <c r="F39" t="s">
        <v>39</v>
      </c>
      <c r="G39">
        <v>900</v>
      </c>
      <c r="H39">
        <v>958</v>
      </c>
      <c r="I39">
        <v>19</v>
      </c>
      <c r="J39" s="6">
        <v>82.41</v>
      </c>
      <c r="K39" s="6">
        <v>75.33</v>
      </c>
      <c r="L39">
        <v>0</v>
      </c>
      <c r="M39" s="7">
        <v>2554.71</v>
      </c>
      <c r="N39" s="7">
        <v>250</v>
      </c>
      <c r="O39" s="7">
        <v>180</v>
      </c>
    </row>
    <row r="40" spans="1:15">
      <c r="A40" t="s">
        <v>83</v>
      </c>
      <c r="B40" s="5">
        <v>46267</v>
      </c>
      <c r="C40" t="s">
        <v>45</v>
      </c>
      <c r="D40" t="s">
        <v>46</v>
      </c>
      <c r="E40" t="s">
        <v>33</v>
      </c>
      <c r="F40" t="s">
        <v>34</v>
      </c>
      <c r="G40">
        <v>1100</v>
      </c>
      <c r="H40">
        <v>886</v>
      </c>
      <c r="I40">
        <v>40</v>
      </c>
      <c r="J40" s="6">
        <v>76.84</v>
      </c>
      <c r="K40" s="6">
        <v>89.48</v>
      </c>
      <c r="L40">
        <v>0</v>
      </c>
      <c r="M40" s="7">
        <v>2612.56</v>
      </c>
      <c r="N40" s="7">
        <v>300</v>
      </c>
      <c r="O40" s="7">
        <v>200</v>
      </c>
    </row>
    <row r="41" spans="1:15">
      <c r="A41" t="s">
        <v>84</v>
      </c>
      <c r="B41" s="5">
        <v>46268</v>
      </c>
      <c r="C41" t="s">
        <v>48</v>
      </c>
      <c r="D41" t="s">
        <v>49</v>
      </c>
      <c r="E41" t="s">
        <v>33</v>
      </c>
      <c r="F41" t="s">
        <v>39</v>
      </c>
      <c r="G41">
        <v>800</v>
      </c>
      <c r="H41">
        <v>746</v>
      </c>
      <c r="I41">
        <v>18</v>
      </c>
      <c r="J41" s="6">
        <v>71.03</v>
      </c>
      <c r="K41" s="6">
        <v>66.33</v>
      </c>
      <c r="L41">
        <v>30</v>
      </c>
      <c r="M41" s="7">
        <v>2628.11</v>
      </c>
      <c r="N41" s="7">
        <v>300</v>
      </c>
      <c r="O41" s="7">
        <v>180</v>
      </c>
    </row>
    <row r="42" spans="1:15">
      <c r="A42" t="s">
        <v>85</v>
      </c>
      <c r="B42" s="5">
        <v>46269</v>
      </c>
      <c r="C42" t="s">
        <v>31</v>
      </c>
      <c r="D42" t="s">
        <v>32</v>
      </c>
      <c r="E42" t="s">
        <v>43</v>
      </c>
      <c r="F42" t="s">
        <v>41</v>
      </c>
      <c r="G42">
        <v>1100</v>
      </c>
      <c r="H42">
        <v>958</v>
      </c>
      <c r="I42">
        <v>14</v>
      </c>
      <c r="J42" s="6">
        <v>89.97</v>
      </c>
      <c r="K42" s="6">
        <v>117.56</v>
      </c>
      <c r="L42">
        <v>30</v>
      </c>
      <c r="M42" s="7">
        <v>3598.8</v>
      </c>
      <c r="N42" s="7">
        <v>300</v>
      </c>
      <c r="O42" s="7">
        <v>275</v>
      </c>
    </row>
    <row r="43" spans="1:15">
      <c r="A43" t="s">
        <v>86</v>
      </c>
      <c r="B43" s="5">
        <v>46285</v>
      </c>
      <c r="C43" t="s">
        <v>36</v>
      </c>
      <c r="D43" t="s">
        <v>37</v>
      </c>
      <c r="E43" t="s">
        <v>38</v>
      </c>
      <c r="F43" t="s">
        <v>39</v>
      </c>
      <c r="G43">
        <v>800</v>
      </c>
      <c r="H43">
        <v>620</v>
      </c>
      <c r="I43">
        <v>5</v>
      </c>
      <c r="J43" s="6">
        <v>60.72</v>
      </c>
      <c r="K43" s="6">
        <v>69.08</v>
      </c>
      <c r="L43">
        <v>0</v>
      </c>
      <c r="M43" s="7">
        <v>2246.64</v>
      </c>
      <c r="N43" s="7">
        <v>500</v>
      </c>
      <c r="O43" s="7">
        <v>225</v>
      </c>
    </row>
    <row r="44" spans="1:15">
      <c r="A44" t="s">
        <v>87</v>
      </c>
      <c r="B44" s="5">
        <v>46286</v>
      </c>
      <c r="C44" t="s">
        <v>31</v>
      </c>
      <c r="D44" t="s">
        <v>32</v>
      </c>
      <c r="E44" t="s">
        <v>38</v>
      </c>
      <c r="F44" t="s">
        <v>41</v>
      </c>
      <c r="G44">
        <v>1200</v>
      </c>
      <c r="H44">
        <v>964</v>
      </c>
      <c r="I44">
        <v>18</v>
      </c>
      <c r="J44" s="6">
        <v>115.9</v>
      </c>
      <c r="K44" s="6">
        <v>126.68</v>
      </c>
      <c r="L44">
        <v>30</v>
      </c>
      <c r="M44" s="7">
        <v>4636</v>
      </c>
      <c r="N44" s="7">
        <v>250</v>
      </c>
      <c r="O44" s="7">
        <v>250</v>
      </c>
    </row>
    <row r="45" spans="1:15">
      <c r="A45" t="s">
        <v>88</v>
      </c>
      <c r="B45" s="5">
        <v>46289</v>
      </c>
      <c r="C45" t="s">
        <v>36</v>
      </c>
      <c r="D45" t="s">
        <v>37</v>
      </c>
      <c r="E45" t="s">
        <v>33</v>
      </c>
      <c r="F45" t="s">
        <v>39</v>
      </c>
      <c r="G45">
        <v>900</v>
      </c>
      <c r="H45">
        <v>847</v>
      </c>
      <c r="I45">
        <v>36</v>
      </c>
      <c r="J45" s="6">
        <v>79.11</v>
      </c>
      <c r="K45" s="6">
        <v>97.85</v>
      </c>
      <c r="L45">
        <v>60</v>
      </c>
      <c r="M45" s="7">
        <v>2215.08</v>
      </c>
      <c r="N45" s="7">
        <v>350</v>
      </c>
      <c r="O45" s="7">
        <v>300</v>
      </c>
    </row>
    <row r="46" spans="1:15">
      <c r="A46" t="s">
        <v>89</v>
      </c>
      <c r="B46" s="5">
        <v>46284</v>
      </c>
      <c r="C46" t="s">
        <v>45</v>
      </c>
      <c r="D46" t="s">
        <v>46</v>
      </c>
      <c r="E46" t="s">
        <v>33</v>
      </c>
      <c r="F46" t="s">
        <v>34</v>
      </c>
      <c r="G46">
        <v>800</v>
      </c>
      <c r="H46">
        <v>666</v>
      </c>
      <c r="I46">
        <v>22</v>
      </c>
      <c r="J46" s="6"/>
      <c r="K46" s="6">
        <v>66.42</v>
      </c>
      <c r="L46">
        <v>75</v>
      </c>
      <c r="M46" s="7">
        <v>2619.19</v>
      </c>
      <c r="N46" s="7">
        <v>300</v>
      </c>
      <c r="O46" s="7">
        <v>250</v>
      </c>
    </row>
    <row r="47" spans="1:15">
      <c r="A47" t="s">
        <v>90</v>
      </c>
      <c r="B47" s="5">
        <v>46277</v>
      </c>
      <c r="C47" t="s">
        <v>45</v>
      </c>
      <c r="D47" t="s">
        <v>46</v>
      </c>
      <c r="E47" t="s">
        <v>38</v>
      </c>
      <c r="F47" t="s">
        <v>34</v>
      </c>
      <c r="G47">
        <v>1000</v>
      </c>
      <c r="H47">
        <v>809</v>
      </c>
      <c r="I47">
        <v>5</v>
      </c>
      <c r="J47" s="6">
        <v>82.29</v>
      </c>
      <c r="K47" s="6">
        <v>85.97</v>
      </c>
      <c r="L47">
        <v>15</v>
      </c>
      <c r="M47" s="7">
        <v>2550.9899999999998</v>
      </c>
      <c r="N47" s="7">
        <v>500</v>
      </c>
      <c r="O47" s="7">
        <v>275</v>
      </c>
    </row>
    <row r="48" spans="1:15">
      <c r="A48" t="s">
        <v>91</v>
      </c>
      <c r="B48" s="5">
        <v>46281</v>
      </c>
      <c r="C48" t="s">
        <v>45</v>
      </c>
      <c r="D48" t="s">
        <v>46</v>
      </c>
      <c r="E48" t="s">
        <v>33</v>
      </c>
      <c r="F48" t="s">
        <v>41</v>
      </c>
      <c r="G48">
        <v>900</v>
      </c>
      <c r="H48">
        <v>782</v>
      </c>
      <c r="I48">
        <v>30</v>
      </c>
      <c r="J48" s="6">
        <v>91.92</v>
      </c>
      <c r="K48" s="6">
        <v>76.260000000000005</v>
      </c>
      <c r="L48">
        <v>20</v>
      </c>
      <c r="M48" s="7">
        <v>2849.52</v>
      </c>
      <c r="N48" s="7">
        <v>450</v>
      </c>
      <c r="O48" s="7">
        <v>225</v>
      </c>
    </row>
    <row r="49" spans="1:15">
      <c r="A49" t="s">
        <v>92</v>
      </c>
      <c r="B49" s="5">
        <v>46274</v>
      </c>
      <c r="C49" t="s">
        <v>36</v>
      </c>
      <c r="D49" t="s">
        <v>37</v>
      </c>
      <c r="E49" t="s">
        <v>38</v>
      </c>
      <c r="F49" t="s">
        <v>34</v>
      </c>
      <c r="G49">
        <v>1100</v>
      </c>
      <c r="H49">
        <v>1083</v>
      </c>
      <c r="I49">
        <v>21</v>
      </c>
      <c r="J49" s="6">
        <v>137.37</v>
      </c>
      <c r="K49" s="6">
        <v>104.62</v>
      </c>
      <c r="L49">
        <v>45</v>
      </c>
      <c r="M49" s="7">
        <v>4258.47</v>
      </c>
      <c r="N49" s="7">
        <v>250</v>
      </c>
      <c r="O49" s="7">
        <v>250</v>
      </c>
    </row>
    <row r="50" spans="1:15">
      <c r="A50" t="s">
        <v>93</v>
      </c>
      <c r="B50" s="5">
        <v>46285</v>
      </c>
      <c r="C50" t="s">
        <v>45</v>
      </c>
      <c r="D50" t="s">
        <v>46</v>
      </c>
      <c r="E50" t="s">
        <v>38</v>
      </c>
      <c r="F50" t="s">
        <v>39</v>
      </c>
      <c r="G50">
        <v>1100</v>
      </c>
      <c r="H50">
        <v>1005</v>
      </c>
      <c r="I50">
        <v>30</v>
      </c>
      <c r="J50" s="6">
        <v>108.89</v>
      </c>
      <c r="K50" s="6">
        <v>118.23</v>
      </c>
      <c r="L50">
        <v>5</v>
      </c>
      <c r="M50" s="7">
        <v>3375.59</v>
      </c>
      <c r="N50" s="7">
        <v>400</v>
      </c>
      <c r="O50" s="7">
        <v>275</v>
      </c>
    </row>
    <row r="51" spans="1:15">
      <c r="A51" t="s">
        <v>94</v>
      </c>
      <c r="B51" s="5">
        <v>46278</v>
      </c>
      <c r="C51" t="s">
        <v>36</v>
      </c>
      <c r="D51" t="s">
        <v>37</v>
      </c>
      <c r="E51" t="s">
        <v>38</v>
      </c>
      <c r="F51" t="s">
        <v>41</v>
      </c>
      <c r="G51">
        <v>1300</v>
      </c>
      <c r="H51">
        <v>1321</v>
      </c>
      <c r="I51">
        <v>16</v>
      </c>
      <c r="J51" s="6">
        <v>130.76</v>
      </c>
      <c r="K51" s="6">
        <v>136.19999999999999</v>
      </c>
      <c r="L51">
        <v>5</v>
      </c>
      <c r="M51" s="7">
        <v>4838.12</v>
      </c>
      <c r="N51" s="7">
        <v>300</v>
      </c>
      <c r="O51" s="7">
        <v>275</v>
      </c>
    </row>
    <row r="52" spans="1:15">
      <c r="A52" t="s">
        <v>95</v>
      </c>
      <c r="B52" s="5">
        <v>46274</v>
      </c>
      <c r="C52" t="s">
        <v>31</v>
      </c>
      <c r="D52" t="s">
        <v>32</v>
      </c>
      <c r="E52" t="s">
        <v>43</v>
      </c>
      <c r="F52" t="s">
        <v>34</v>
      </c>
      <c r="G52">
        <v>800</v>
      </c>
      <c r="H52">
        <v>801</v>
      </c>
      <c r="I52">
        <v>14</v>
      </c>
      <c r="J52" s="6">
        <v>99.32</v>
      </c>
      <c r="K52" s="6">
        <v>66.87</v>
      </c>
      <c r="L52">
        <v>10</v>
      </c>
      <c r="M52" s="7">
        <v>3376.88</v>
      </c>
      <c r="N52" s="7">
        <v>300</v>
      </c>
      <c r="O52" s="7">
        <v>250</v>
      </c>
    </row>
    <row r="53" spans="1:15">
      <c r="A53" t="s">
        <v>96</v>
      </c>
      <c r="B53" s="5">
        <v>46280</v>
      </c>
      <c r="C53" t="s">
        <v>48</v>
      </c>
      <c r="D53" t="s">
        <v>49</v>
      </c>
      <c r="E53" t="s">
        <v>33</v>
      </c>
      <c r="F53" t="s">
        <v>41</v>
      </c>
      <c r="G53">
        <v>800</v>
      </c>
      <c r="H53">
        <v>817</v>
      </c>
      <c r="I53">
        <v>36</v>
      </c>
      <c r="J53" s="6">
        <v>90.52</v>
      </c>
      <c r="K53" s="6">
        <v>81.36</v>
      </c>
      <c r="L53">
        <v>0</v>
      </c>
      <c r="M53" s="7">
        <v>3349.24</v>
      </c>
      <c r="N53" s="7">
        <v>250</v>
      </c>
      <c r="O53" s="7">
        <v>180</v>
      </c>
    </row>
    <row r="54" spans="1:15">
      <c r="A54" t="s">
        <v>97</v>
      </c>
      <c r="B54" s="5">
        <v>46282</v>
      </c>
      <c r="C54" t="s">
        <v>48</v>
      </c>
      <c r="D54" t="s">
        <v>49</v>
      </c>
      <c r="E54" t="s">
        <v>38</v>
      </c>
      <c r="F54" t="s">
        <v>41</v>
      </c>
      <c r="G54">
        <v>1200</v>
      </c>
      <c r="H54">
        <v>946</v>
      </c>
      <c r="I54">
        <v>20</v>
      </c>
      <c r="J54" s="6">
        <v>107.99</v>
      </c>
      <c r="K54" s="6">
        <v>113.86</v>
      </c>
      <c r="L54">
        <v>60</v>
      </c>
      <c r="M54" s="7">
        <v>3671.66</v>
      </c>
      <c r="N54" s="7">
        <v>450</v>
      </c>
      <c r="O54" s="7">
        <v>300</v>
      </c>
    </row>
    <row r="55" spans="1:15">
      <c r="A55" t="s">
        <v>98</v>
      </c>
      <c r="B55" s="5">
        <v>46266</v>
      </c>
      <c r="C55" t="s">
        <v>31</v>
      </c>
      <c r="D55" t="s">
        <v>32</v>
      </c>
      <c r="E55" t="s">
        <v>33</v>
      </c>
      <c r="F55" t="s">
        <v>41</v>
      </c>
      <c r="G55">
        <v>1000</v>
      </c>
      <c r="H55">
        <v>747</v>
      </c>
      <c r="I55">
        <v>33</v>
      </c>
      <c r="J55" s="6">
        <v>96.66</v>
      </c>
      <c r="K55" s="6">
        <v>100.6</v>
      </c>
      <c r="L55">
        <v>10</v>
      </c>
      <c r="M55" s="7">
        <v>2706.48</v>
      </c>
      <c r="N55" s="7">
        <v>250</v>
      </c>
      <c r="O55" s="7">
        <v>275</v>
      </c>
    </row>
    <row r="56" spans="1:15">
      <c r="A56" t="s">
        <v>99</v>
      </c>
      <c r="B56" s="5">
        <v>46275</v>
      </c>
      <c r="C56" t="s">
        <v>36</v>
      </c>
      <c r="D56" t="s">
        <v>37</v>
      </c>
      <c r="E56" t="s">
        <v>33</v>
      </c>
      <c r="F56" t="s">
        <v>34</v>
      </c>
      <c r="G56">
        <v>1300</v>
      </c>
      <c r="H56">
        <v>1102</v>
      </c>
      <c r="I56">
        <v>34</v>
      </c>
      <c r="J56" s="6">
        <v>130.51</v>
      </c>
      <c r="K56" s="6">
        <v>135.07</v>
      </c>
      <c r="L56">
        <v>0</v>
      </c>
      <c r="M56" s="7">
        <v>3654.28</v>
      </c>
      <c r="N56" s="7">
        <v>250</v>
      </c>
      <c r="O56" s="7">
        <v>225</v>
      </c>
    </row>
    <row r="57" spans="1:15">
      <c r="A57" t="s">
        <v>100</v>
      </c>
      <c r="B57" s="5">
        <v>46278</v>
      </c>
      <c r="C57" t="s">
        <v>36</v>
      </c>
      <c r="D57" t="s">
        <v>37</v>
      </c>
      <c r="E57" t="s">
        <v>33</v>
      </c>
      <c r="F57" t="s">
        <v>34</v>
      </c>
      <c r="G57">
        <v>800</v>
      </c>
      <c r="H57">
        <v>583</v>
      </c>
      <c r="I57">
        <v>15</v>
      </c>
      <c r="J57" s="6">
        <v>71.510000000000005</v>
      </c>
      <c r="K57" s="6">
        <v>79.95</v>
      </c>
      <c r="L57">
        <v>0</v>
      </c>
      <c r="M57" s="7">
        <v>2431.34</v>
      </c>
      <c r="N57" s="7">
        <v>250</v>
      </c>
      <c r="O57" s="7">
        <v>180</v>
      </c>
    </row>
    <row r="58" spans="1:15">
      <c r="A58" t="s">
        <v>101</v>
      </c>
      <c r="B58" s="5">
        <v>46271</v>
      </c>
      <c r="C58" t="s">
        <v>31</v>
      </c>
      <c r="D58" t="s">
        <v>32</v>
      </c>
      <c r="E58" t="s">
        <v>38</v>
      </c>
      <c r="F58" t="s">
        <v>39</v>
      </c>
      <c r="G58">
        <v>1300</v>
      </c>
      <c r="H58">
        <v>1277</v>
      </c>
      <c r="I58">
        <v>30</v>
      </c>
      <c r="J58" s="6">
        <v>127.28</v>
      </c>
      <c r="K58" s="6">
        <v>141.82</v>
      </c>
      <c r="L58">
        <v>45</v>
      </c>
      <c r="M58" s="7">
        <v>3563.84</v>
      </c>
      <c r="N58" s="7">
        <v>250</v>
      </c>
      <c r="O58" s="7">
        <v>250</v>
      </c>
    </row>
    <row r="59" spans="1:15">
      <c r="A59" t="s">
        <v>102</v>
      </c>
      <c r="B59" s="5">
        <v>46285</v>
      </c>
      <c r="C59" t="s">
        <v>48</v>
      </c>
      <c r="D59" t="s">
        <v>49</v>
      </c>
      <c r="E59" t="s">
        <v>43</v>
      </c>
      <c r="F59" t="s">
        <v>39</v>
      </c>
      <c r="G59">
        <v>1200</v>
      </c>
      <c r="H59">
        <v>1056</v>
      </c>
      <c r="I59">
        <v>14</v>
      </c>
      <c r="J59" s="6">
        <v>104.43</v>
      </c>
      <c r="K59" s="6">
        <v>104.34</v>
      </c>
      <c r="L59">
        <v>60</v>
      </c>
      <c r="M59" s="7">
        <v>2924.04</v>
      </c>
      <c r="N59" s="7">
        <v>300</v>
      </c>
      <c r="O59" s="7">
        <v>250</v>
      </c>
    </row>
    <row r="60" spans="1:15">
      <c r="A60" t="s">
        <v>103</v>
      </c>
      <c r="B60" s="5">
        <v>46276</v>
      </c>
      <c r="C60" t="s">
        <v>45</v>
      </c>
      <c r="D60" t="s">
        <v>46</v>
      </c>
      <c r="E60" t="s">
        <v>38</v>
      </c>
      <c r="F60" t="s">
        <v>34</v>
      </c>
      <c r="G60">
        <v>900</v>
      </c>
      <c r="H60">
        <v>854</v>
      </c>
      <c r="I60">
        <v>12</v>
      </c>
      <c r="J60" s="6">
        <v>99.78</v>
      </c>
      <c r="K60" s="6">
        <v>87.19</v>
      </c>
      <c r="L60">
        <v>10</v>
      </c>
      <c r="M60" s="7">
        <v>3691.86</v>
      </c>
      <c r="N60" s="7">
        <v>300</v>
      </c>
      <c r="O60" s="7">
        <v>300</v>
      </c>
    </row>
    <row r="61" spans="1:15">
      <c r="A61" t="s">
        <v>104</v>
      </c>
      <c r="B61" s="5">
        <v>46289</v>
      </c>
      <c r="C61" t="s">
        <v>36</v>
      </c>
      <c r="D61" t="s">
        <v>37</v>
      </c>
      <c r="E61" t="s">
        <v>43</v>
      </c>
      <c r="F61" t="s">
        <v>34</v>
      </c>
      <c r="G61">
        <v>1300</v>
      </c>
      <c r="H61">
        <v>1010</v>
      </c>
      <c r="I61">
        <v>50</v>
      </c>
      <c r="J61" s="6">
        <v>81.25</v>
      </c>
      <c r="K61" s="6">
        <v>131.22999999999999</v>
      </c>
      <c r="L61">
        <v>20</v>
      </c>
      <c r="M61" s="7">
        <v>3250</v>
      </c>
      <c r="N61" s="7">
        <v>450</v>
      </c>
      <c r="O61" s="7">
        <v>225</v>
      </c>
    </row>
    <row r="62" spans="1:15">
      <c r="A62" t="s">
        <v>105</v>
      </c>
      <c r="B62" s="5">
        <v>46289</v>
      </c>
      <c r="C62" t="s">
        <v>48</v>
      </c>
      <c r="D62" t="s">
        <v>49</v>
      </c>
      <c r="E62" t="s">
        <v>38</v>
      </c>
      <c r="F62" t="s">
        <v>34</v>
      </c>
      <c r="G62">
        <v>800</v>
      </c>
      <c r="H62">
        <v>772</v>
      </c>
      <c r="I62">
        <v>18</v>
      </c>
      <c r="J62" s="6">
        <v>87.87</v>
      </c>
      <c r="K62" s="6">
        <v>80.63</v>
      </c>
      <c r="L62">
        <v>10</v>
      </c>
      <c r="M62" s="7">
        <v>3251.19</v>
      </c>
      <c r="N62" s="7">
        <v>500</v>
      </c>
      <c r="O62" s="7">
        <v>300</v>
      </c>
    </row>
    <row r="63" spans="1:15">
      <c r="A63" t="s">
        <v>106</v>
      </c>
      <c r="B63" s="5">
        <v>46272</v>
      </c>
      <c r="C63" t="s">
        <v>48</v>
      </c>
      <c r="D63" t="s">
        <v>49</v>
      </c>
      <c r="E63" t="s">
        <v>38</v>
      </c>
      <c r="F63" t="s">
        <v>34</v>
      </c>
      <c r="G63">
        <v>1300</v>
      </c>
      <c r="H63">
        <v>1188</v>
      </c>
      <c r="I63">
        <v>49</v>
      </c>
      <c r="J63" s="6">
        <v>151.24</v>
      </c>
      <c r="K63" s="6">
        <v>142.52000000000001</v>
      </c>
      <c r="L63">
        <v>45</v>
      </c>
      <c r="M63" s="7">
        <v>4688.4399999999996</v>
      </c>
      <c r="N63" s="7">
        <v>350</v>
      </c>
      <c r="O63" s="7">
        <v>180</v>
      </c>
    </row>
    <row r="64" spans="1:15">
      <c r="A64" t="s">
        <v>107</v>
      </c>
      <c r="B64" s="5">
        <v>46270</v>
      </c>
      <c r="C64" t="s">
        <v>48</v>
      </c>
      <c r="D64" t="s">
        <v>49</v>
      </c>
      <c r="E64" t="s">
        <v>33</v>
      </c>
      <c r="F64" t="s">
        <v>34</v>
      </c>
      <c r="G64">
        <v>1300</v>
      </c>
      <c r="H64">
        <v>1038</v>
      </c>
      <c r="I64">
        <v>25</v>
      </c>
      <c r="J64" s="6">
        <v>83.27</v>
      </c>
      <c r="K64" s="6">
        <v>135.96</v>
      </c>
      <c r="L64">
        <v>5</v>
      </c>
      <c r="M64" s="7">
        <v>3080.99</v>
      </c>
      <c r="N64" s="7">
        <v>500</v>
      </c>
      <c r="O64" s="7">
        <v>180</v>
      </c>
    </row>
    <row r="65" spans="1:15">
      <c r="A65" t="s">
        <v>108</v>
      </c>
      <c r="B65" s="5">
        <v>46278</v>
      </c>
      <c r="C65" t="s">
        <v>45</v>
      </c>
      <c r="D65" t="s">
        <v>46</v>
      </c>
      <c r="E65" t="s">
        <v>38</v>
      </c>
      <c r="F65" t="s">
        <v>34</v>
      </c>
      <c r="G65">
        <v>1100</v>
      </c>
      <c r="H65">
        <v>1185</v>
      </c>
      <c r="I65">
        <v>49</v>
      </c>
      <c r="J65" s="6">
        <v>151.96</v>
      </c>
      <c r="K65" s="6">
        <v>97.16</v>
      </c>
      <c r="L65">
        <v>15</v>
      </c>
      <c r="M65" s="7">
        <v>6078.4</v>
      </c>
      <c r="N65" s="7">
        <v>350</v>
      </c>
      <c r="O65" s="7">
        <v>275</v>
      </c>
    </row>
    <row r="66" spans="1:15">
      <c r="A66" t="s">
        <v>109</v>
      </c>
      <c r="B66" s="5">
        <v>46282</v>
      </c>
      <c r="C66" t="s">
        <v>31</v>
      </c>
      <c r="D66" t="s">
        <v>32</v>
      </c>
      <c r="E66" t="s">
        <v>33</v>
      </c>
      <c r="F66" t="s">
        <v>41</v>
      </c>
      <c r="G66">
        <v>1300</v>
      </c>
      <c r="H66">
        <v>1299</v>
      </c>
      <c r="I66">
        <v>37</v>
      </c>
      <c r="J66" s="6">
        <v>151.86000000000001</v>
      </c>
      <c r="K66" s="6">
        <v>125.39</v>
      </c>
      <c r="L66">
        <v>75</v>
      </c>
      <c r="M66" s="7">
        <v>4707.66</v>
      </c>
      <c r="N66" s="7">
        <v>300</v>
      </c>
      <c r="O66" s="7">
        <v>225</v>
      </c>
    </row>
    <row r="67" spans="1:15">
      <c r="A67" t="s">
        <v>110</v>
      </c>
      <c r="B67" s="5">
        <v>46266</v>
      </c>
      <c r="C67" t="s">
        <v>45</v>
      </c>
      <c r="D67" t="s">
        <v>46</v>
      </c>
      <c r="E67" t="s">
        <v>43</v>
      </c>
      <c r="F67" t="s">
        <v>39</v>
      </c>
      <c r="G67">
        <v>800</v>
      </c>
      <c r="H67">
        <v>757</v>
      </c>
      <c r="I67">
        <v>32</v>
      </c>
      <c r="J67" s="6">
        <v>87.26</v>
      </c>
      <c r="K67" s="6">
        <v>65.03</v>
      </c>
      <c r="L67">
        <v>15</v>
      </c>
      <c r="M67" s="7">
        <v>2705.06</v>
      </c>
      <c r="N67" s="7">
        <v>300</v>
      </c>
      <c r="O67" s="7">
        <v>250</v>
      </c>
    </row>
    <row r="68" spans="1:15">
      <c r="A68" t="s">
        <v>111</v>
      </c>
      <c r="B68" s="5">
        <v>46289</v>
      </c>
      <c r="C68" t="s">
        <v>48</v>
      </c>
      <c r="D68" t="s">
        <v>49</v>
      </c>
      <c r="E68" t="s">
        <v>43</v>
      </c>
      <c r="F68" t="s">
        <v>41</v>
      </c>
      <c r="G68">
        <v>1300</v>
      </c>
      <c r="H68">
        <v>1034</v>
      </c>
      <c r="I68">
        <v>23</v>
      </c>
      <c r="J68" s="6">
        <v>95.6</v>
      </c>
      <c r="K68" s="6">
        <v>130.31</v>
      </c>
      <c r="L68">
        <v>30</v>
      </c>
      <c r="M68" s="7">
        <v>3250.4</v>
      </c>
      <c r="N68" s="7">
        <v>300</v>
      </c>
      <c r="O68" s="7">
        <v>200</v>
      </c>
    </row>
    <row r="69" spans="1:15">
      <c r="A69" t="s">
        <v>112</v>
      </c>
      <c r="B69" s="5">
        <v>46295</v>
      </c>
      <c r="C69" t="s">
        <v>45</v>
      </c>
      <c r="D69" t="s">
        <v>46</v>
      </c>
      <c r="E69" t="s">
        <v>43</v>
      </c>
      <c r="F69" t="s">
        <v>39</v>
      </c>
      <c r="G69">
        <v>1100</v>
      </c>
      <c r="H69">
        <v>1103</v>
      </c>
      <c r="I69">
        <v>11</v>
      </c>
      <c r="J69" s="6">
        <v>90.84</v>
      </c>
      <c r="K69" s="6">
        <v>99.69</v>
      </c>
      <c r="L69">
        <v>45</v>
      </c>
      <c r="M69" s="7">
        <v>2543.52</v>
      </c>
      <c r="N69" s="7">
        <v>400</v>
      </c>
      <c r="O69" s="7">
        <v>200</v>
      </c>
    </row>
    <row r="70" spans="1:15">
      <c r="A70" t="s">
        <v>113</v>
      </c>
      <c r="B70" s="5">
        <v>46277</v>
      </c>
      <c r="C70" t="s">
        <v>45</v>
      </c>
      <c r="D70" t="s">
        <v>46</v>
      </c>
      <c r="E70" t="s">
        <v>38</v>
      </c>
      <c r="F70" t="s">
        <v>41</v>
      </c>
      <c r="G70">
        <v>1000</v>
      </c>
      <c r="H70">
        <v>1034</v>
      </c>
      <c r="I70">
        <v>30</v>
      </c>
      <c r="J70" s="6">
        <v>105.76</v>
      </c>
      <c r="K70" s="6">
        <v>106.97</v>
      </c>
      <c r="L70">
        <v>20</v>
      </c>
      <c r="M70" s="7">
        <v>3913.12</v>
      </c>
      <c r="N70" s="7">
        <v>250</v>
      </c>
      <c r="O70" s="7">
        <v>300</v>
      </c>
    </row>
    <row r="71" spans="1:15">
      <c r="A71" t="s">
        <v>114</v>
      </c>
      <c r="B71" s="5">
        <v>46288</v>
      </c>
      <c r="C71" t="s">
        <v>48</v>
      </c>
      <c r="D71" t="s">
        <v>49</v>
      </c>
      <c r="E71" t="s">
        <v>38</v>
      </c>
      <c r="F71" t="s">
        <v>41</v>
      </c>
      <c r="G71">
        <v>1200</v>
      </c>
      <c r="H71">
        <v>1130</v>
      </c>
      <c r="I71">
        <v>36</v>
      </c>
      <c r="J71" s="6">
        <v>127.51</v>
      </c>
      <c r="K71" s="6">
        <v>108.2</v>
      </c>
      <c r="L71">
        <v>10</v>
      </c>
      <c r="M71" s="7">
        <v>3570.28</v>
      </c>
      <c r="N71" s="7">
        <v>250</v>
      </c>
      <c r="O71" s="7">
        <v>300</v>
      </c>
    </row>
    <row r="72" spans="1:15">
      <c r="A72" t="s">
        <v>114</v>
      </c>
      <c r="B72" s="5">
        <v>46288</v>
      </c>
      <c r="C72" t="s">
        <v>48</v>
      </c>
      <c r="D72" t="s">
        <v>49</v>
      </c>
      <c r="E72" t="s">
        <v>38</v>
      </c>
      <c r="F72" t="s">
        <v>41</v>
      </c>
      <c r="G72">
        <v>1200</v>
      </c>
      <c r="H72">
        <v>1130</v>
      </c>
      <c r="I72">
        <v>36</v>
      </c>
      <c r="J72" s="6">
        <v>127.51</v>
      </c>
      <c r="K72" s="6">
        <v>108.2</v>
      </c>
      <c r="L72">
        <v>10</v>
      </c>
      <c r="M72" s="7">
        <v>3570.28</v>
      </c>
      <c r="N72" s="7">
        <v>250</v>
      </c>
      <c r="O72" s="7">
        <v>300</v>
      </c>
    </row>
    <row r="73" spans="1:15">
      <c r="A73" t="s">
        <v>115</v>
      </c>
      <c r="B73" s="5">
        <v>46272</v>
      </c>
      <c r="C73" t="s">
        <v>31</v>
      </c>
      <c r="D73" t="s">
        <v>32</v>
      </c>
      <c r="E73" t="s">
        <v>38</v>
      </c>
      <c r="F73" t="s">
        <v>34</v>
      </c>
      <c r="G73">
        <v>900</v>
      </c>
      <c r="H73">
        <v>760</v>
      </c>
      <c r="I73">
        <v>7</v>
      </c>
      <c r="J73" s="6">
        <v>79.91</v>
      </c>
      <c r="K73" s="6">
        <v>74.7</v>
      </c>
      <c r="L73">
        <v>20</v>
      </c>
      <c r="M73" s="7">
        <v>2956.67</v>
      </c>
      <c r="N73" s="7">
        <v>400</v>
      </c>
      <c r="O73" s="7">
        <v>180</v>
      </c>
    </row>
    <row r="74" spans="1:15">
      <c r="A74" t="s">
        <v>116</v>
      </c>
      <c r="B74" s="5">
        <v>46274</v>
      </c>
      <c r="C74" t="s">
        <v>36</v>
      </c>
      <c r="D74" t="s">
        <v>37</v>
      </c>
      <c r="E74" t="s">
        <v>38</v>
      </c>
      <c r="F74" t="s">
        <v>41</v>
      </c>
      <c r="G74">
        <v>1200</v>
      </c>
      <c r="H74">
        <v>1131</v>
      </c>
      <c r="I74">
        <v>18</v>
      </c>
      <c r="J74" s="6">
        <v>143.72999999999999</v>
      </c>
      <c r="K74" s="6">
        <v>96.81</v>
      </c>
      <c r="L74">
        <v>5</v>
      </c>
      <c r="M74" s="7">
        <v>4024.44</v>
      </c>
      <c r="N74" s="7">
        <v>300</v>
      </c>
      <c r="O74" s="7">
        <v>275</v>
      </c>
    </row>
    <row r="75" spans="1:15">
      <c r="A75" t="s">
        <v>117</v>
      </c>
      <c r="B75" s="5">
        <v>46277</v>
      </c>
      <c r="C75" t="s">
        <v>48</v>
      </c>
      <c r="D75" t="s">
        <v>49</v>
      </c>
      <c r="E75" t="s">
        <v>33</v>
      </c>
      <c r="F75" t="s">
        <v>39</v>
      </c>
      <c r="G75">
        <v>800</v>
      </c>
      <c r="H75">
        <v>832</v>
      </c>
      <c r="I75">
        <v>24</v>
      </c>
      <c r="J75" s="6">
        <v>67.84</v>
      </c>
      <c r="K75" s="6">
        <v>82.61</v>
      </c>
      <c r="L75">
        <v>45</v>
      </c>
      <c r="M75" s="7">
        <v>1899.52</v>
      </c>
      <c r="N75" s="7">
        <v>300</v>
      </c>
      <c r="O75" s="7">
        <v>300</v>
      </c>
    </row>
    <row r="76" spans="1:15">
      <c r="A76" t="s">
        <v>118</v>
      </c>
      <c r="B76" s="5">
        <v>46268</v>
      </c>
      <c r="C76" t="s">
        <v>36</v>
      </c>
      <c r="D76" t="s">
        <v>37</v>
      </c>
      <c r="E76" t="s">
        <v>33</v>
      </c>
      <c r="F76" t="s">
        <v>39</v>
      </c>
      <c r="G76">
        <v>1100</v>
      </c>
      <c r="H76">
        <v>955</v>
      </c>
      <c r="I76">
        <v>14</v>
      </c>
      <c r="J76" s="6">
        <v>75.7</v>
      </c>
      <c r="K76" s="6">
        <v>112.21</v>
      </c>
      <c r="L76">
        <v>75</v>
      </c>
      <c r="M76" s="7">
        <v>2346.6999999999998</v>
      </c>
      <c r="N76" s="7">
        <v>400</v>
      </c>
      <c r="O76" s="7">
        <v>200</v>
      </c>
    </row>
    <row r="77" spans="1:15">
      <c r="A77" t="s">
        <v>119</v>
      </c>
      <c r="B77" s="5">
        <v>46288</v>
      </c>
      <c r="C77" t="s">
        <v>45</v>
      </c>
      <c r="D77" t="s">
        <v>46</v>
      </c>
      <c r="E77" t="s">
        <v>38</v>
      </c>
      <c r="F77" t="s">
        <v>34</v>
      </c>
      <c r="G77">
        <v>1200</v>
      </c>
      <c r="H77">
        <v>1130</v>
      </c>
      <c r="I77">
        <v>20</v>
      </c>
      <c r="J77" s="6">
        <v>88.45</v>
      </c>
      <c r="K77" s="6">
        <v>107.82</v>
      </c>
      <c r="L77">
        <v>60</v>
      </c>
      <c r="M77" s="7">
        <v>2741.95</v>
      </c>
      <c r="N77" s="7">
        <v>450</v>
      </c>
      <c r="O77" s="7">
        <v>300</v>
      </c>
    </row>
    <row r="78" spans="1:15">
      <c r="A78" t="s">
        <v>120</v>
      </c>
      <c r="B78" s="5">
        <v>46271</v>
      </c>
      <c r="C78" t="s">
        <v>36</v>
      </c>
      <c r="D78" t="s">
        <v>37</v>
      </c>
      <c r="E78" t="s">
        <v>33</v>
      </c>
      <c r="F78" t="s">
        <v>39</v>
      </c>
      <c r="G78">
        <v>1200</v>
      </c>
      <c r="H78">
        <v>1203</v>
      </c>
      <c r="I78">
        <v>20</v>
      </c>
      <c r="J78" s="6">
        <v>131.03</v>
      </c>
      <c r="K78" s="6">
        <v>114.8</v>
      </c>
      <c r="L78">
        <v>10</v>
      </c>
      <c r="M78" s="7">
        <v>4061.93</v>
      </c>
      <c r="N78" s="7">
        <v>400</v>
      </c>
      <c r="O78" s="7">
        <v>275</v>
      </c>
    </row>
    <row r="79" spans="1:15">
      <c r="A79" t="s">
        <v>121</v>
      </c>
      <c r="B79" s="5">
        <v>46270</v>
      </c>
      <c r="C79" t="s">
        <v>36</v>
      </c>
      <c r="D79" t="s">
        <v>37</v>
      </c>
      <c r="E79" t="s">
        <v>38</v>
      </c>
      <c r="F79" t="s">
        <v>39</v>
      </c>
      <c r="G79">
        <v>1300</v>
      </c>
      <c r="H79">
        <v>1195</v>
      </c>
      <c r="I79">
        <v>53</v>
      </c>
      <c r="J79" s="6">
        <v>146.49</v>
      </c>
      <c r="K79" s="6">
        <v>106.38</v>
      </c>
      <c r="L79">
        <v>0</v>
      </c>
      <c r="M79" s="7">
        <v>5420.13</v>
      </c>
      <c r="N79" s="7">
        <v>500</v>
      </c>
      <c r="O79" s="7">
        <v>180</v>
      </c>
    </row>
    <row r="80" spans="1:15">
      <c r="A80" t="s">
        <v>122</v>
      </c>
      <c r="B80" s="5">
        <v>46277</v>
      </c>
      <c r="C80" t="s">
        <v>36</v>
      </c>
      <c r="D80" t="s">
        <v>37</v>
      </c>
      <c r="E80" t="s">
        <v>43</v>
      </c>
      <c r="F80" t="s">
        <v>41</v>
      </c>
      <c r="G80">
        <v>800</v>
      </c>
      <c r="H80">
        <v>671</v>
      </c>
      <c r="I80">
        <v>4</v>
      </c>
      <c r="J80" s="6">
        <v>73.47</v>
      </c>
      <c r="K80" s="6">
        <v>85.6</v>
      </c>
      <c r="L80">
        <v>5</v>
      </c>
      <c r="M80" s="7">
        <v>2277.5700000000002</v>
      </c>
      <c r="N80" s="7">
        <v>350</v>
      </c>
      <c r="O80" s="7">
        <v>275</v>
      </c>
    </row>
    <row r="81" spans="1:15">
      <c r="A81" t="s">
        <v>123</v>
      </c>
      <c r="B81" s="5">
        <v>46281</v>
      </c>
      <c r="C81" t="s">
        <v>48</v>
      </c>
      <c r="D81" t="s">
        <v>49</v>
      </c>
      <c r="E81" t="s">
        <v>33</v>
      </c>
      <c r="F81" t="s">
        <v>41</v>
      </c>
      <c r="G81">
        <v>900</v>
      </c>
      <c r="H81">
        <v>739</v>
      </c>
      <c r="I81">
        <v>15</v>
      </c>
      <c r="J81" s="6">
        <v>73.959999999999994</v>
      </c>
      <c r="K81" s="6">
        <v>84.07</v>
      </c>
      <c r="L81">
        <v>75</v>
      </c>
      <c r="M81" s="7">
        <v>2514.64</v>
      </c>
      <c r="N81" s="7">
        <v>400</v>
      </c>
      <c r="O81" s="7">
        <v>300</v>
      </c>
    </row>
    <row r="82" spans="1:15">
      <c r="A82" t="s">
        <v>124</v>
      </c>
      <c r="B82" s="5">
        <v>46294</v>
      </c>
      <c r="C82" t="s">
        <v>36</v>
      </c>
      <c r="D82" t="s">
        <v>37</v>
      </c>
      <c r="E82" t="s">
        <v>43</v>
      </c>
      <c r="F82" t="s">
        <v>34</v>
      </c>
      <c r="G82">
        <v>1000</v>
      </c>
      <c r="H82">
        <v>729</v>
      </c>
      <c r="I82">
        <v>35</v>
      </c>
      <c r="J82" s="6">
        <v>62.11</v>
      </c>
      <c r="K82" s="6">
        <v>94.96</v>
      </c>
      <c r="L82">
        <v>5</v>
      </c>
      <c r="M82" s="7">
        <v>1925.41</v>
      </c>
      <c r="N82" s="7">
        <v>400</v>
      </c>
      <c r="O82" s="7">
        <v>275</v>
      </c>
    </row>
    <row r="83" spans="1:15">
      <c r="A83" t="s">
        <v>125</v>
      </c>
      <c r="B83" s="5">
        <v>46277</v>
      </c>
      <c r="C83" t="s">
        <v>45</v>
      </c>
      <c r="D83" t="s">
        <v>46</v>
      </c>
      <c r="E83" t="s">
        <v>43</v>
      </c>
      <c r="F83" t="s">
        <v>34</v>
      </c>
      <c r="G83">
        <v>1200</v>
      </c>
      <c r="H83">
        <v>1210</v>
      </c>
      <c r="I83">
        <v>14</v>
      </c>
      <c r="J83" s="6">
        <v>142.84</v>
      </c>
      <c r="K83" s="6">
        <v>96.38</v>
      </c>
      <c r="L83">
        <v>15</v>
      </c>
      <c r="M83" s="7">
        <v>5285.08</v>
      </c>
      <c r="N83" s="7">
        <v>350</v>
      </c>
      <c r="O83" s="7">
        <v>300</v>
      </c>
    </row>
    <row r="84" spans="1:15">
      <c r="A84" t="s">
        <v>126</v>
      </c>
      <c r="B84" s="5">
        <v>46273</v>
      </c>
      <c r="C84" t="s">
        <v>36</v>
      </c>
      <c r="D84" t="s">
        <v>37</v>
      </c>
      <c r="E84" t="s">
        <v>38</v>
      </c>
      <c r="F84" t="s">
        <v>39</v>
      </c>
      <c r="G84">
        <v>1200</v>
      </c>
      <c r="H84">
        <v>1074</v>
      </c>
      <c r="I84">
        <v>20</v>
      </c>
      <c r="J84" s="6">
        <v>89.9</v>
      </c>
      <c r="K84" s="6">
        <v>122.93</v>
      </c>
      <c r="L84">
        <v>0</v>
      </c>
      <c r="M84" s="7">
        <v>3056.6</v>
      </c>
      <c r="N84" s="7">
        <v>500</v>
      </c>
      <c r="O84" s="7">
        <v>300</v>
      </c>
    </row>
    <row r="85" spans="1:15">
      <c r="A85" t="s">
        <v>127</v>
      </c>
      <c r="B85" s="5">
        <v>46281</v>
      </c>
      <c r="C85" t="s">
        <v>48</v>
      </c>
      <c r="D85" t="s">
        <v>49</v>
      </c>
      <c r="E85" t="s">
        <v>43</v>
      </c>
      <c r="F85" t="s">
        <v>39</v>
      </c>
      <c r="G85">
        <v>1100</v>
      </c>
      <c r="H85">
        <v>1128</v>
      </c>
      <c r="I85">
        <v>50</v>
      </c>
      <c r="J85" s="6">
        <v>128.62</v>
      </c>
      <c r="K85" s="6">
        <v>98.26</v>
      </c>
      <c r="L85">
        <v>75</v>
      </c>
      <c r="M85" s="7">
        <v>5144.8</v>
      </c>
      <c r="N85" s="7">
        <v>250</v>
      </c>
      <c r="O85" s="7">
        <v>180</v>
      </c>
    </row>
    <row r="86" spans="1:15">
      <c r="A86" t="s">
        <v>128</v>
      </c>
      <c r="B86" s="5">
        <v>46290</v>
      </c>
      <c r="C86" t="s">
        <v>31</v>
      </c>
      <c r="D86" t="s">
        <v>32</v>
      </c>
      <c r="E86" t="s">
        <v>33</v>
      </c>
      <c r="F86" t="s">
        <v>39</v>
      </c>
      <c r="G86">
        <v>1200</v>
      </c>
      <c r="H86">
        <v>1258</v>
      </c>
      <c r="I86">
        <v>60</v>
      </c>
      <c r="J86" s="6">
        <v>115.67</v>
      </c>
      <c r="K86" s="6">
        <v>122.35</v>
      </c>
      <c r="L86">
        <v>10</v>
      </c>
      <c r="M86" s="7">
        <v>4626.8</v>
      </c>
      <c r="N86" s="7">
        <v>250</v>
      </c>
      <c r="O86" s="7">
        <v>180</v>
      </c>
    </row>
    <row r="87" spans="1:15">
      <c r="A87" t="s">
        <v>129</v>
      </c>
      <c r="B87" s="5">
        <v>46291</v>
      </c>
      <c r="C87" t="s">
        <v>31</v>
      </c>
      <c r="D87" t="s">
        <v>32</v>
      </c>
      <c r="E87" t="s">
        <v>43</v>
      </c>
      <c r="F87" t="s">
        <v>39</v>
      </c>
      <c r="G87">
        <v>800</v>
      </c>
      <c r="H87">
        <v>607</v>
      </c>
      <c r="I87">
        <v>14</v>
      </c>
      <c r="J87" s="6">
        <v>55.46</v>
      </c>
      <c r="K87" s="6">
        <v>65.209999999999994</v>
      </c>
      <c r="L87">
        <v>30</v>
      </c>
      <c r="M87" s="7">
        <v>1719.26</v>
      </c>
      <c r="N87" s="7">
        <v>350</v>
      </c>
      <c r="O87" s="7">
        <v>250</v>
      </c>
    </row>
    <row r="88" spans="1:15">
      <c r="A88" t="s">
        <v>130</v>
      </c>
      <c r="B88" s="5">
        <v>46285</v>
      </c>
      <c r="C88" t="s">
        <v>36</v>
      </c>
      <c r="D88" t="s">
        <v>37</v>
      </c>
      <c r="E88" t="s">
        <v>38</v>
      </c>
      <c r="F88" t="s">
        <v>41</v>
      </c>
      <c r="G88">
        <v>900</v>
      </c>
      <c r="H88">
        <v>766</v>
      </c>
      <c r="I88">
        <v>23</v>
      </c>
      <c r="J88" s="6">
        <v>74.16</v>
      </c>
      <c r="K88" s="6">
        <v>78.540000000000006</v>
      </c>
      <c r="L88">
        <v>15</v>
      </c>
      <c r="M88" s="7">
        <v>2521.44</v>
      </c>
      <c r="N88" s="7">
        <v>400</v>
      </c>
      <c r="O88" s="7">
        <v>180</v>
      </c>
    </row>
    <row r="89" spans="1:15">
      <c r="A89" t="s">
        <v>131</v>
      </c>
      <c r="B89" s="5">
        <v>46278</v>
      </c>
      <c r="C89" t="s">
        <v>45</v>
      </c>
      <c r="D89" t="s">
        <v>46</v>
      </c>
      <c r="E89" t="s">
        <v>38</v>
      </c>
      <c r="F89" t="s">
        <v>41</v>
      </c>
      <c r="G89">
        <v>1300</v>
      </c>
      <c r="H89">
        <v>1058</v>
      </c>
      <c r="I89">
        <v>37</v>
      </c>
      <c r="J89" s="6">
        <v>124.59</v>
      </c>
      <c r="K89" s="6">
        <v>121.71</v>
      </c>
      <c r="L89">
        <v>15</v>
      </c>
      <c r="M89" s="7">
        <v>3488.52</v>
      </c>
      <c r="N89" s="7">
        <v>300</v>
      </c>
      <c r="O89" s="7">
        <v>300</v>
      </c>
    </row>
    <row r="90" spans="1:15">
      <c r="A90" t="s">
        <v>132</v>
      </c>
      <c r="B90" s="5">
        <v>46294</v>
      </c>
      <c r="C90" t="s">
        <v>36</v>
      </c>
      <c r="D90" t="s">
        <v>37</v>
      </c>
      <c r="E90" t="s">
        <v>33</v>
      </c>
      <c r="F90" t="s">
        <v>39</v>
      </c>
      <c r="G90">
        <v>1000</v>
      </c>
      <c r="H90">
        <v>865</v>
      </c>
      <c r="I90">
        <v>26</v>
      </c>
      <c r="J90" s="6">
        <v>107.14</v>
      </c>
      <c r="K90" s="6">
        <v>84.83</v>
      </c>
      <c r="L90">
        <v>10</v>
      </c>
      <c r="M90" s="7">
        <v>3321.34</v>
      </c>
      <c r="N90" s="7">
        <v>400</v>
      </c>
      <c r="O90" s="7">
        <v>250</v>
      </c>
    </row>
    <row r="91" spans="1:15">
      <c r="A91" t="s">
        <v>133</v>
      </c>
      <c r="B91" s="5">
        <v>46270</v>
      </c>
      <c r="C91" t="s">
        <v>36</v>
      </c>
      <c r="D91" t="s">
        <v>37</v>
      </c>
      <c r="E91" t="s">
        <v>33</v>
      </c>
      <c r="F91" t="s">
        <v>34</v>
      </c>
      <c r="G91">
        <v>900</v>
      </c>
      <c r="H91">
        <v>923</v>
      </c>
      <c r="I91">
        <v>23</v>
      </c>
      <c r="J91" s="6">
        <v>105.6</v>
      </c>
      <c r="K91" s="6">
        <v>94.88</v>
      </c>
      <c r="L91">
        <v>30</v>
      </c>
      <c r="M91" s="7">
        <v>4224</v>
      </c>
      <c r="N91" s="7">
        <v>350</v>
      </c>
      <c r="O91" s="7">
        <v>300</v>
      </c>
    </row>
    <row r="92" spans="1:15">
      <c r="A92" t="s">
        <v>134</v>
      </c>
      <c r="B92" s="5">
        <v>46266</v>
      </c>
      <c r="C92" t="s">
        <v>48</v>
      </c>
      <c r="D92" t="s">
        <v>49</v>
      </c>
      <c r="E92" t="s">
        <v>43</v>
      </c>
      <c r="F92" t="s">
        <v>34</v>
      </c>
      <c r="G92">
        <v>1300</v>
      </c>
      <c r="H92">
        <v>952</v>
      </c>
      <c r="I92">
        <v>51</v>
      </c>
      <c r="J92" s="6">
        <v>94.23</v>
      </c>
      <c r="K92" s="6">
        <v>111.77</v>
      </c>
      <c r="L92">
        <v>5</v>
      </c>
      <c r="M92" s="7">
        <v>3486.51</v>
      </c>
      <c r="N92" s="7">
        <v>350</v>
      </c>
      <c r="O92" s="7">
        <v>275</v>
      </c>
    </row>
    <row r="93" spans="1:15">
      <c r="A93" t="s">
        <v>135</v>
      </c>
      <c r="B93" s="5">
        <v>46279</v>
      </c>
      <c r="C93" t="s">
        <v>45</v>
      </c>
      <c r="D93" t="s">
        <v>46</v>
      </c>
      <c r="E93" t="s">
        <v>38</v>
      </c>
      <c r="F93" t="s">
        <v>34</v>
      </c>
      <c r="G93">
        <v>1200</v>
      </c>
      <c r="H93">
        <v>1088</v>
      </c>
      <c r="I93">
        <v>24</v>
      </c>
      <c r="J93" s="6">
        <v>94.39</v>
      </c>
      <c r="K93" s="6">
        <v>113.93</v>
      </c>
      <c r="L93">
        <v>60</v>
      </c>
      <c r="M93" s="7">
        <v>2642.92</v>
      </c>
      <c r="N93" s="7">
        <v>350</v>
      </c>
      <c r="O93" s="7">
        <v>275</v>
      </c>
    </row>
    <row r="94" spans="1:15">
      <c r="A94" t="s">
        <v>136</v>
      </c>
      <c r="B94" s="5">
        <v>46288</v>
      </c>
      <c r="C94" t="s">
        <v>45</v>
      </c>
      <c r="D94" t="s">
        <v>46</v>
      </c>
      <c r="E94" t="s">
        <v>33</v>
      </c>
      <c r="F94" t="s">
        <v>39</v>
      </c>
      <c r="G94">
        <v>1200</v>
      </c>
      <c r="H94">
        <v>876</v>
      </c>
      <c r="I94">
        <v>37</v>
      </c>
      <c r="J94" s="6">
        <v>97.15</v>
      </c>
      <c r="K94" s="6">
        <v>120.81</v>
      </c>
      <c r="L94">
        <v>30</v>
      </c>
      <c r="M94" s="7">
        <v>3594.55</v>
      </c>
      <c r="N94" s="7">
        <v>300</v>
      </c>
      <c r="O94" s="7">
        <v>180</v>
      </c>
    </row>
    <row r="95" spans="1:15">
      <c r="A95" t="s">
        <v>137</v>
      </c>
      <c r="B95" s="5">
        <v>46285</v>
      </c>
      <c r="C95" t="s">
        <v>31</v>
      </c>
      <c r="D95" t="s">
        <v>32</v>
      </c>
      <c r="E95" t="s">
        <v>43</v>
      </c>
      <c r="F95" t="s">
        <v>39</v>
      </c>
      <c r="G95">
        <v>1200</v>
      </c>
      <c r="H95">
        <v>1081</v>
      </c>
      <c r="I95">
        <v>43</v>
      </c>
      <c r="J95" s="6">
        <v>86.74</v>
      </c>
      <c r="K95" s="6">
        <v>96.57</v>
      </c>
      <c r="L95">
        <v>75</v>
      </c>
      <c r="M95" s="7">
        <v>2428.7199999999998</v>
      </c>
      <c r="N95" s="7">
        <v>250</v>
      </c>
      <c r="O95" s="7">
        <v>225</v>
      </c>
    </row>
    <row r="96" spans="1:15">
      <c r="A96" t="s">
        <v>138</v>
      </c>
      <c r="B96" s="5">
        <v>46266</v>
      </c>
      <c r="C96" t="s">
        <v>36</v>
      </c>
      <c r="D96" t="s">
        <v>37</v>
      </c>
      <c r="E96" t="s">
        <v>43</v>
      </c>
      <c r="F96" t="s">
        <v>39</v>
      </c>
      <c r="G96">
        <v>1200</v>
      </c>
      <c r="H96">
        <v>1217</v>
      </c>
      <c r="I96">
        <v>16</v>
      </c>
      <c r="J96" s="6">
        <v>111.2</v>
      </c>
      <c r="K96" s="6">
        <v>112.1</v>
      </c>
      <c r="L96">
        <v>60</v>
      </c>
      <c r="M96" s="7">
        <v>3780.8</v>
      </c>
      <c r="N96" s="7">
        <v>400</v>
      </c>
      <c r="O96" s="7">
        <v>200</v>
      </c>
    </row>
    <row r="97" spans="1:15">
      <c r="A97" t="s">
        <v>139</v>
      </c>
      <c r="B97" s="5">
        <v>46270</v>
      </c>
      <c r="C97" t="s">
        <v>31</v>
      </c>
      <c r="D97" t="s">
        <v>32</v>
      </c>
      <c r="E97" t="s">
        <v>38</v>
      </c>
      <c r="F97" t="s">
        <v>41</v>
      </c>
      <c r="G97">
        <v>800</v>
      </c>
      <c r="H97">
        <v>646</v>
      </c>
      <c r="I97">
        <v>29</v>
      </c>
      <c r="J97" s="6">
        <v>77.05</v>
      </c>
      <c r="K97" s="6">
        <v>69.650000000000006</v>
      </c>
      <c r="L97">
        <v>15</v>
      </c>
      <c r="M97" s="7">
        <v>2850.85</v>
      </c>
      <c r="N97" s="7">
        <v>500</v>
      </c>
      <c r="O97" s="7">
        <v>180</v>
      </c>
    </row>
    <row r="98" spans="1:15">
      <c r="A98" t="s">
        <v>140</v>
      </c>
      <c r="B98" s="5">
        <v>46275</v>
      </c>
      <c r="C98" t="s">
        <v>48</v>
      </c>
      <c r="D98" t="s">
        <v>49</v>
      </c>
      <c r="E98" t="s">
        <v>38</v>
      </c>
      <c r="F98" t="s">
        <v>39</v>
      </c>
      <c r="G98">
        <v>1300</v>
      </c>
      <c r="H98">
        <v>1045</v>
      </c>
      <c r="I98">
        <v>37</v>
      </c>
      <c r="J98" s="6">
        <v>106.68</v>
      </c>
      <c r="K98" s="6">
        <v>128.29</v>
      </c>
      <c r="L98">
        <v>15</v>
      </c>
      <c r="M98" s="7">
        <v>3627.12</v>
      </c>
      <c r="N98" s="7">
        <v>400</v>
      </c>
      <c r="O98" s="7">
        <v>275</v>
      </c>
    </row>
    <row r="99" spans="1:15">
      <c r="A99" t="s">
        <v>141</v>
      </c>
      <c r="B99" s="5">
        <v>46271</v>
      </c>
      <c r="C99" t="s">
        <v>45</v>
      </c>
      <c r="D99" t="s">
        <v>46</v>
      </c>
      <c r="E99" t="s">
        <v>33</v>
      </c>
      <c r="F99" t="s">
        <v>41</v>
      </c>
      <c r="G99">
        <v>1000</v>
      </c>
      <c r="H99">
        <v>922</v>
      </c>
      <c r="I99">
        <v>21</v>
      </c>
      <c r="J99" s="6">
        <v>69.39</v>
      </c>
      <c r="K99" s="6">
        <v>98.57</v>
      </c>
      <c r="L99">
        <v>75</v>
      </c>
      <c r="M99" s="7">
        <v>2359.2600000000002</v>
      </c>
      <c r="N99" s="7">
        <v>500</v>
      </c>
      <c r="O99" s="7">
        <v>200</v>
      </c>
    </row>
    <row r="100" spans="1:15">
      <c r="A100" t="s">
        <v>142</v>
      </c>
      <c r="B100" s="5">
        <v>46278</v>
      </c>
      <c r="C100" t="s">
        <v>45</v>
      </c>
      <c r="D100" t="s">
        <v>46</v>
      </c>
      <c r="E100" t="s">
        <v>33</v>
      </c>
      <c r="F100" t="s">
        <v>41</v>
      </c>
      <c r="G100">
        <v>1300</v>
      </c>
      <c r="H100">
        <v>1203</v>
      </c>
      <c r="I100">
        <v>26</v>
      </c>
      <c r="J100" s="6">
        <v>122.98</v>
      </c>
      <c r="K100" s="6">
        <v>106.91</v>
      </c>
      <c r="L100">
        <v>60</v>
      </c>
      <c r="M100" s="7">
        <v>3443.44</v>
      </c>
      <c r="N100" s="7">
        <v>250</v>
      </c>
      <c r="O100" s="7">
        <v>225</v>
      </c>
    </row>
    <row r="101" spans="1:15">
      <c r="A101" t="s">
        <v>143</v>
      </c>
      <c r="B101" s="5">
        <v>46288</v>
      </c>
      <c r="C101" t="s">
        <v>45</v>
      </c>
      <c r="D101" t="s">
        <v>46</v>
      </c>
      <c r="E101" t="s">
        <v>43</v>
      </c>
      <c r="F101" t="s">
        <v>41</v>
      </c>
      <c r="G101">
        <v>1200</v>
      </c>
      <c r="H101">
        <v>894</v>
      </c>
      <c r="I101">
        <v>19</v>
      </c>
      <c r="J101" s="6">
        <v>93.21</v>
      </c>
      <c r="K101" s="6">
        <v>108.4</v>
      </c>
      <c r="L101">
        <v>30</v>
      </c>
      <c r="M101" s="7">
        <v>3448.77</v>
      </c>
      <c r="N101" s="7">
        <v>350</v>
      </c>
      <c r="O101" s="7">
        <v>275</v>
      </c>
    </row>
    <row r="102" spans="1:15">
      <c r="A102" t="s">
        <v>144</v>
      </c>
      <c r="B102" s="5">
        <v>46269</v>
      </c>
      <c r="C102" t="s">
        <v>48</v>
      </c>
      <c r="D102" t="s">
        <v>49</v>
      </c>
      <c r="E102" t="s">
        <v>33</v>
      </c>
      <c r="F102" t="s">
        <v>41</v>
      </c>
      <c r="G102">
        <v>1200</v>
      </c>
      <c r="H102">
        <v>1293</v>
      </c>
      <c r="I102">
        <v>42</v>
      </c>
      <c r="J102" s="6">
        <v>103.31</v>
      </c>
      <c r="K102" s="6">
        <v>105.78</v>
      </c>
      <c r="L102">
        <v>0</v>
      </c>
      <c r="M102" s="7">
        <v>2892.68</v>
      </c>
      <c r="N102" s="7">
        <v>250</v>
      </c>
      <c r="O102" s="7">
        <v>275</v>
      </c>
    </row>
    <row r="103" spans="1:15">
      <c r="A103" t="s">
        <v>145</v>
      </c>
      <c r="B103" s="5">
        <v>46279</v>
      </c>
      <c r="C103" t="s">
        <v>48</v>
      </c>
      <c r="D103" t="s">
        <v>49</v>
      </c>
      <c r="E103" t="s">
        <v>38</v>
      </c>
      <c r="F103" t="s">
        <v>39</v>
      </c>
      <c r="G103">
        <v>800</v>
      </c>
      <c r="H103">
        <v>650</v>
      </c>
      <c r="I103">
        <v>20</v>
      </c>
      <c r="J103" s="6">
        <v>80.91</v>
      </c>
      <c r="K103" s="6">
        <v>76.37</v>
      </c>
      <c r="L103">
        <v>45</v>
      </c>
      <c r="M103" s="7">
        <v>2993.67</v>
      </c>
      <c r="N103" s="7">
        <v>350</v>
      </c>
      <c r="O103" s="7">
        <v>300</v>
      </c>
    </row>
    <row r="104" spans="1:15">
      <c r="A104" t="s">
        <v>146</v>
      </c>
      <c r="B104" s="5">
        <v>46272</v>
      </c>
      <c r="C104" t="s">
        <v>45</v>
      </c>
      <c r="D104" t="s">
        <v>46</v>
      </c>
      <c r="E104" t="s">
        <v>38</v>
      </c>
      <c r="F104" t="s">
        <v>34</v>
      </c>
      <c r="G104">
        <v>1200</v>
      </c>
      <c r="H104">
        <v>1230</v>
      </c>
      <c r="I104">
        <v>27</v>
      </c>
      <c r="J104" s="6">
        <v>112.35</v>
      </c>
      <c r="K104" s="6">
        <v>96.1</v>
      </c>
      <c r="L104">
        <v>45</v>
      </c>
      <c r="M104" s="7">
        <v>3145.8</v>
      </c>
      <c r="N104" s="7">
        <v>250</v>
      </c>
      <c r="O104" s="7">
        <v>180</v>
      </c>
    </row>
    <row r="105" spans="1:15">
      <c r="A105" t="s">
        <v>147</v>
      </c>
      <c r="B105" s="5">
        <v>46294</v>
      </c>
      <c r="C105" t="s">
        <v>48</v>
      </c>
      <c r="D105" t="s">
        <v>49</v>
      </c>
      <c r="E105" t="s">
        <v>43</v>
      </c>
      <c r="F105" t="s">
        <v>39</v>
      </c>
      <c r="G105">
        <v>1100</v>
      </c>
      <c r="H105">
        <v>1111</v>
      </c>
      <c r="I105">
        <v>6</v>
      </c>
      <c r="J105" s="6">
        <v>98.46</v>
      </c>
      <c r="K105" s="6">
        <v>105.41</v>
      </c>
      <c r="L105">
        <v>30</v>
      </c>
      <c r="M105" s="7">
        <v>2756.88</v>
      </c>
      <c r="N105" s="7">
        <v>500</v>
      </c>
      <c r="O105" s="7">
        <v>275</v>
      </c>
    </row>
    <row r="106" spans="1:15">
      <c r="A106" t="s">
        <v>148</v>
      </c>
      <c r="B106" s="5">
        <v>46287</v>
      </c>
      <c r="C106" t="s">
        <v>45</v>
      </c>
      <c r="D106" t="s">
        <v>46</v>
      </c>
      <c r="E106" t="s">
        <v>43</v>
      </c>
      <c r="F106" t="s">
        <v>39</v>
      </c>
      <c r="G106">
        <v>1000</v>
      </c>
      <c r="H106">
        <v>761</v>
      </c>
      <c r="I106">
        <v>28</v>
      </c>
      <c r="J106" s="6">
        <v>89.2</v>
      </c>
      <c r="K106" s="6">
        <v>92.26</v>
      </c>
      <c r="L106">
        <v>0</v>
      </c>
      <c r="M106" s="7">
        <v>2765.2</v>
      </c>
      <c r="N106" s="7">
        <v>450</v>
      </c>
      <c r="O106" s="7">
        <v>225</v>
      </c>
    </row>
    <row r="107" spans="1:15">
      <c r="A107" t="s">
        <v>149</v>
      </c>
      <c r="B107" s="5">
        <v>46271</v>
      </c>
      <c r="C107" t="s">
        <v>45</v>
      </c>
      <c r="D107" t="s">
        <v>46</v>
      </c>
      <c r="E107" t="s">
        <v>43</v>
      </c>
      <c r="F107" t="s">
        <v>41</v>
      </c>
      <c r="G107">
        <v>900</v>
      </c>
      <c r="H107">
        <v>962</v>
      </c>
      <c r="I107">
        <v>29</v>
      </c>
      <c r="J107" s="6">
        <v>108.78</v>
      </c>
      <c r="K107" s="6">
        <v>92.46</v>
      </c>
      <c r="L107">
        <v>45</v>
      </c>
      <c r="M107" s="7">
        <v>4024.86</v>
      </c>
      <c r="N107" s="7">
        <v>500</v>
      </c>
      <c r="O107" s="7">
        <v>300</v>
      </c>
    </row>
    <row r="108" spans="1:15">
      <c r="A108" t="s">
        <v>150</v>
      </c>
      <c r="B108" s="5">
        <v>46270</v>
      </c>
      <c r="C108" t="s">
        <v>31</v>
      </c>
      <c r="D108" t="s">
        <v>32</v>
      </c>
      <c r="E108" t="s">
        <v>43</v>
      </c>
      <c r="F108" t="s">
        <v>39</v>
      </c>
      <c r="G108">
        <v>800</v>
      </c>
      <c r="H108">
        <v>584</v>
      </c>
      <c r="I108">
        <v>25</v>
      </c>
      <c r="J108" s="6">
        <v>62.8</v>
      </c>
      <c r="K108" s="6">
        <v>78.62</v>
      </c>
      <c r="L108">
        <v>30</v>
      </c>
      <c r="M108" s="7">
        <v>2135.1999999999998</v>
      </c>
      <c r="N108" s="7">
        <v>300</v>
      </c>
      <c r="O108" s="7">
        <v>250</v>
      </c>
    </row>
    <row r="109" spans="1:15">
      <c r="A109" t="s">
        <v>151</v>
      </c>
      <c r="B109" s="5">
        <v>46293</v>
      </c>
      <c r="C109" t="s">
        <v>45</v>
      </c>
      <c r="D109" t="s">
        <v>46</v>
      </c>
      <c r="E109" t="s">
        <v>38</v>
      </c>
      <c r="F109" t="s">
        <v>39</v>
      </c>
      <c r="G109">
        <v>1000</v>
      </c>
      <c r="H109">
        <v>891</v>
      </c>
      <c r="I109">
        <v>9</v>
      </c>
      <c r="J109" s="6">
        <v>73.09</v>
      </c>
      <c r="K109" s="6">
        <v>108.92</v>
      </c>
      <c r="L109">
        <v>10</v>
      </c>
      <c r="M109" s="7">
        <v>2704.33</v>
      </c>
      <c r="N109" s="7">
        <v>350</v>
      </c>
      <c r="O109" s="7">
        <v>200</v>
      </c>
    </row>
    <row r="110" spans="1:15">
      <c r="A110" t="s">
        <v>152</v>
      </c>
      <c r="B110" s="5">
        <v>46293</v>
      </c>
      <c r="C110" t="s">
        <v>31</v>
      </c>
      <c r="D110" t="s">
        <v>32</v>
      </c>
      <c r="E110" t="s">
        <v>33</v>
      </c>
      <c r="F110" t="s">
        <v>41</v>
      </c>
      <c r="G110">
        <v>900</v>
      </c>
      <c r="H110">
        <v>724</v>
      </c>
      <c r="I110">
        <v>16</v>
      </c>
      <c r="J110" s="6">
        <v>57.15</v>
      </c>
      <c r="K110" s="6">
        <v>96.18</v>
      </c>
      <c r="L110">
        <v>0</v>
      </c>
      <c r="M110" s="7">
        <v>1943.1</v>
      </c>
      <c r="N110" s="7">
        <v>400</v>
      </c>
      <c r="O110" s="7">
        <v>275</v>
      </c>
    </row>
    <row r="111" spans="1:15">
      <c r="A111" t="s">
        <v>153</v>
      </c>
      <c r="B111" s="5">
        <v>46293</v>
      </c>
      <c r="C111" t="s">
        <v>31</v>
      </c>
      <c r="D111" t="s">
        <v>32</v>
      </c>
      <c r="E111" t="s">
        <v>38</v>
      </c>
      <c r="F111" t="s">
        <v>34</v>
      </c>
      <c r="G111">
        <v>1100</v>
      </c>
      <c r="H111">
        <v>809</v>
      </c>
      <c r="I111">
        <v>35</v>
      </c>
      <c r="J111" s="6">
        <v>76.819999999999993</v>
      </c>
      <c r="K111" s="6">
        <v>118.54</v>
      </c>
      <c r="L111">
        <v>20</v>
      </c>
      <c r="M111" s="7">
        <v>3072.8</v>
      </c>
      <c r="N111" s="7">
        <v>400</v>
      </c>
      <c r="O111" s="7">
        <v>275</v>
      </c>
    </row>
    <row r="112" spans="1:15">
      <c r="A112" t="s">
        <v>154</v>
      </c>
      <c r="B112" s="5">
        <v>46295</v>
      </c>
      <c r="C112" t="s">
        <v>36</v>
      </c>
      <c r="D112" t="s">
        <v>37</v>
      </c>
      <c r="E112" t="s">
        <v>33</v>
      </c>
      <c r="F112" t="s">
        <v>39</v>
      </c>
      <c r="G112">
        <v>1100</v>
      </c>
      <c r="H112">
        <v>988</v>
      </c>
      <c r="I112">
        <v>54</v>
      </c>
      <c r="J112" s="6">
        <v>103.82</v>
      </c>
      <c r="K112" s="6">
        <v>99.49</v>
      </c>
      <c r="L112">
        <v>15</v>
      </c>
      <c r="M112" s="7">
        <v>3529.88</v>
      </c>
      <c r="N112" s="7">
        <v>500</v>
      </c>
      <c r="O112" s="7">
        <v>180</v>
      </c>
    </row>
    <row r="113" spans="1:15">
      <c r="A113" t="s">
        <v>155</v>
      </c>
      <c r="B113" s="5">
        <v>46286</v>
      </c>
      <c r="C113" t="s">
        <v>36</v>
      </c>
      <c r="D113" t="s">
        <v>37</v>
      </c>
      <c r="E113" t="s">
        <v>38</v>
      </c>
      <c r="F113" t="s">
        <v>39</v>
      </c>
      <c r="G113">
        <v>800</v>
      </c>
      <c r="H113">
        <v>718</v>
      </c>
      <c r="I113">
        <v>21</v>
      </c>
      <c r="J113" s="6">
        <v>88.92</v>
      </c>
      <c r="K113" s="6">
        <v>65.959999999999994</v>
      </c>
      <c r="L113">
        <v>45</v>
      </c>
      <c r="M113" s="7">
        <v>3290.04</v>
      </c>
      <c r="N113" s="7">
        <v>350</v>
      </c>
      <c r="O113" s="7">
        <v>275</v>
      </c>
    </row>
    <row r="114" spans="1:15">
      <c r="A114" t="s">
        <v>156</v>
      </c>
      <c r="B114" s="5">
        <v>46270</v>
      </c>
      <c r="C114" t="s">
        <v>48</v>
      </c>
      <c r="D114" t="s">
        <v>49</v>
      </c>
      <c r="E114" t="s">
        <v>33</v>
      </c>
      <c r="F114" t="s">
        <v>39</v>
      </c>
      <c r="G114">
        <v>1000</v>
      </c>
      <c r="H114">
        <v>931</v>
      </c>
      <c r="I114">
        <v>5</v>
      </c>
      <c r="J114" s="6">
        <v>75.77</v>
      </c>
      <c r="K114" s="6">
        <v>102.61</v>
      </c>
      <c r="L114">
        <v>0</v>
      </c>
      <c r="M114" s="7">
        <v>2576.1799999999998</v>
      </c>
      <c r="N114" s="7">
        <v>250</v>
      </c>
      <c r="O114" s="7">
        <v>200</v>
      </c>
    </row>
    <row r="115" spans="1:15">
      <c r="A115" t="s">
        <v>157</v>
      </c>
      <c r="B115" s="5">
        <v>46283</v>
      </c>
      <c r="C115" t="s">
        <v>48</v>
      </c>
      <c r="D115" t="s">
        <v>49</v>
      </c>
      <c r="E115" t="s">
        <v>43</v>
      </c>
      <c r="F115" t="s">
        <v>41</v>
      </c>
      <c r="G115">
        <v>1300</v>
      </c>
      <c r="H115">
        <v>967</v>
      </c>
      <c r="I115">
        <v>37</v>
      </c>
      <c r="J115" s="6">
        <v>85.63</v>
      </c>
      <c r="K115" s="6">
        <v>104.97</v>
      </c>
      <c r="L115">
        <v>0</v>
      </c>
      <c r="M115" s="7">
        <v>2397.64</v>
      </c>
      <c r="N115" s="7">
        <v>450</v>
      </c>
      <c r="O115" s="7">
        <v>250</v>
      </c>
    </row>
    <row r="116" spans="1:15">
      <c r="A116" t="s">
        <v>158</v>
      </c>
      <c r="B116" s="5">
        <v>46293</v>
      </c>
      <c r="C116" t="s">
        <v>45</v>
      </c>
      <c r="D116" t="s">
        <v>46</v>
      </c>
      <c r="E116" t="s">
        <v>33</v>
      </c>
      <c r="F116" t="s">
        <v>41</v>
      </c>
      <c r="G116">
        <v>1000</v>
      </c>
      <c r="H116">
        <v>938</v>
      </c>
      <c r="I116">
        <v>35</v>
      </c>
      <c r="J116" s="6">
        <v>105.43</v>
      </c>
      <c r="K116" s="6">
        <v>102.59</v>
      </c>
      <c r="L116">
        <v>5</v>
      </c>
      <c r="M116" s="7">
        <v>3584.62</v>
      </c>
      <c r="N116" s="7">
        <v>500</v>
      </c>
      <c r="O116" s="7">
        <v>300</v>
      </c>
    </row>
    <row r="117" spans="1:15">
      <c r="A117" t="s">
        <v>159</v>
      </c>
      <c r="B117" s="5">
        <v>46290</v>
      </c>
      <c r="C117" t="s">
        <v>36</v>
      </c>
      <c r="D117" t="s">
        <v>37</v>
      </c>
      <c r="E117" t="s">
        <v>43</v>
      </c>
      <c r="F117" t="s">
        <v>39</v>
      </c>
      <c r="G117">
        <v>800</v>
      </c>
      <c r="H117">
        <v>727</v>
      </c>
      <c r="I117">
        <v>17</v>
      </c>
      <c r="J117" s="6">
        <v>94.35</v>
      </c>
      <c r="K117" s="6">
        <v>86.53</v>
      </c>
      <c r="L117">
        <v>20</v>
      </c>
      <c r="M117" s="7">
        <v>3774</v>
      </c>
      <c r="N117" s="7">
        <v>350</v>
      </c>
      <c r="O117" s="7">
        <v>225</v>
      </c>
    </row>
    <row r="118" spans="1:15">
      <c r="A118" t="s">
        <v>160</v>
      </c>
      <c r="B118" s="5">
        <v>46277</v>
      </c>
      <c r="C118" t="s">
        <v>45</v>
      </c>
      <c r="D118" t="s">
        <v>46</v>
      </c>
      <c r="E118" t="s">
        <v>43</v>
      </c>
      <c r="F118" t="s">
        <v>34</v>
      </c>
      <c r="G118">
        <v>800</v>
      </c>
      <c r="H118">
        <v>716</v>
      </c>
      <c r="I118">
        <v>6</v>
      </c>
      <c r="J118" s="6">
        <v>89.55</v>
      </c>
      <c r="K118" s="6">
        <v>85.86</v>
      </c>
      <c r="L118">
        <v>20</v>
      </c>
      <c r="M118" s="7">
        <v>3582</v>
      </c>
      <c r="N118" s="7">
        <v>400</v>
      </c>
      <c r="O118" s="7">
        <v>300</v>
      </c>
    </row>
    <row r="119" spans="1:15">
      <c r="A119" t="s">
        <v>161</v>
      </c>
      <c r="B119" s="5">
        <v>46286</v>
      </c>
      <c r="C119" t="s">
        <v>36</v>
      </c>
      <c r="D119" t="s">
        <v>37</v>
      </c>
      <c r="E119" t="s">
        <v>38</v>
      </c>
      <c r="F119" t="s">
        <v>41</v>
      </c>
      <c r="G119">
        <v>1100</v>
      </c>
      <c r="H119">
        <v>1069</v>
      </c>
      <c r="I119">
        <v>15</v>
      </c>
      <c r="J119" s="6">
        <v>104.41</v>
      </c>
      <c r="K119" s="6">
        <v>96.8</v>
      </c>
      <c r="L119">
        <v>30</v>
      </c>
      <c r="M119" s="7">
        <v>3549.94</v>
      </c>
      <c r="N119" s="7">
        <v>400</v>
      </c>
      <c r="O119" s="7">
        <v>200</v>
      </c>
    </row>
    <row r="120" spans="1:15">
      <c r="A120" t="s">
        <v>162</v>
      </c>
      <c r="B120" s="5">
        <v>46282</v>
      </c>
      <c r="C120" t="s">
        <v>31</v>
      </c>
      <c r="D120" t="s">
        <v>32</v>
      </c>
      <c r="E120" t="s">
        <v>38</v>
      </c>
      <c r="F120" t="s">
        <v>41</v>
      </c>
      <c r="G120">
        <v>1200</v>
      </c>
      <c r="H120">
        <v>929</v>
      </c>
      <c r="I120">
        <v>18</v>
      </c>
      <c r="J120" s="6">
        <v>119.47</v>
      </c>
      <c r="K120" s="6">
        <v>100.45</v>
      </c>
      <c r="L120">
        <v>75</v>
      </c>
      <c r="M120" s="7">
        <v>4420.3900000000003</v>
      </c>
      <c r="N120" s="7">
        <v>450</v>
      </c>
      <c r="O120" s="7">
        <v>200</v>
      </c>
    </row>
    <row r="121" spans="1:15">
      <c r="A121" t="s">
        <v>163</v>
      </c>
      <c r="B121" s="5">
        <v>46271</v>
      </c>
      <c r="C121" t="s">
        <v>45</v>
      </c>
      <c r="D121" t="s">
        <v>46</v>
      </c>
      <c r="E121" t="s">
        <v>33</v>
      </c>
      <c r="F121" t="s">
        <v>34</v>
      </c>
      <c r="G121">
        <v>1200</v>
      </c>
      <c r="H121">
        <v>1024</v>
      </c>
      <c r="I121">
        <v>54</v>
      </c>
      <c r="J121" s="6">
        <v>121.81</v>
      </c>
      <c r="K121" s="6">
        <v>122.57</v>
      </c>
      <c r="L121">
        <v>75</v>
      </c>
      <c r="M121" s="7">
        <v>4141.54</v>
      </c>
      <c r="N121" s="7">
        <v>300</v>
      </c>
      <c r="O121" s="7">
        <v>300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C23D-6A53-4FBC-96A5-82DFF71D5765}">
  <dimension ref="A3:I17"/>
  <sheetViews>
    <sheetView workbookViewId="0">
      <selection activeCell="I14" sqref="I14"/>
    </sheetView>
  </sheetViews>
  <sheetFormatPr defaultRowHeight="15"/>
  <cols>
    <col min="1" max="1" width="13.140625" bestFit="1" customWidth="1"/>
    <col min="2" max="2" width="19.140625" bestFit="1" customWidth="1"/>
    <col min="3" max="3" width="22.28515625" bestFit="1" customWidth="1"/>
    <col min="4" max="4" width="12" bestFit="1" customWidth="1"/>
    <col min="5" max="5" width="13.140625" bestFit="1" customWidth="1"/>
    <col min="6" max="6" width="13.85546875" bestFit="1" customWidth="1"/>
    <col min="7" max="7" width="25" bestFit="1" customWidth="1"/>
    <col min="8" max="8" width="23.42578125" bestFit="1" customWidth="1"/>
    <col min="9" max="9" width="26.28515625" bestFit="1" customWidth="1"/>
  </cols>
  <sheetData>
    <row r="3" spans="1:9">
      <c r="A3" s="17" t="s">
        <v>189</v>
      </c>
      <c r="B3" t="s">
        <v>191</v>
      </c>
      <c r="C3" t="s">
        <v>192</v>
      </c>
      <c r="E3" s="17" t="s">
        <v>189</v>
      </c>
      <c r="F3" t="s">
        <v>196</v>
      </c>
    </row>
    <row r="4" spans="1:9">
      <c r="A4" s="18" t="s">
        <v>48</v>
      </c>
      <c r="B4">
        <v>28400</v>
      </c>
      <c r="C4">
        <v>25694</v>
      </c>
      <c r="E4" s="18" t="s">
        <v>34</v>
      </c>
      <c r="F4">
        <v>905</v>
      </c>
    </row>
    <row r="5" spans="1:9">
      <c r="A5" s="18" t="s">
        <v>31</v>
      </c>
      <c r="B5">
        <v>26100</v>
      </c>
      <c r="C5">
        <v>22604</v>
      </c>
      <c r="E5" s="18" t="s">
        <v>39</v>
      </c>
      <c r="F5">
        <v>1335</v>
      </c>
    </row>
    <row r="6" spans="1:9">
      <c r="A6" s="18" t="s">
        <v>45</v>
      </c>
      <c r="B6">
        <v>36400</v>
      </c>
      <c r="C6">
        <v>32167</v>
      </c>
      <c r="E6" s="18" t="s">
        <v>41</v>
      </c>
      <c r="F6">
        <v>950</v>
      </c>
    </row>
    <row r="7" spans="1:9">
      <c r="A7" s="18" t="s">
        <v>36</v>
      </c>
      <c r="B7">
        <v>35200</v>
      </c>
      <c r="C7">
        <v>31447</v>
      </c>
      <c r="E7" s="18" t="s">
        <v>195</v>
      </c>
      <c r="F7">
        <v>60</v>
      </c>
    </row>
    <row r="8" spans="1:9">
      <c r="A8" s="18" t="s">
        <v>190</v>
      </c>
      <c r="B8">
        <v>126100</v>
      </c>
      <c r="C8">
        <v>111912</v>
      </c>
      <c r="E8" s="18" t="s">
        <v>190</v>
      </c>
      <c r="F8">
        <v>3250</v>
      </c>
    </row>
    <row r="12" spans="1:9">
      <c r="A12" s="17" t="s">
        <v>189</v>
      </c>
      <c r="B12" t="s">
        <v>192</v>
      </c>
      <c r="C12" t="s">
        <v>193</v>
      </c>
      <c r="D12" s="19" t="s">
        <v>194</v>
      </c>
      <c r="F12" s="17" t="s">
        <v>189</v>
      </c>
      <c r="G12" t="s">
        <v>197</v>
      </c>
      <c r="H12" t="s">
        <v>198</v>
      </c>
      <c r="I12" t="s">
        <v>199</v>
      </c>
    </row>
    <row r="13" spans="1:9">
      <c r="A13" s="18" t="s">
        <v>33</v>
      </c>
      <c r="B13">
        <v>41351</v>
      </c>
      <c r="C13">
        <v>1327</v>
      </c>
      <c r="D13" s="14">
        <f>IFERROR(C13/B13,"")</f>
        <v>3.209112234286958E-2</v>
      </c>
      <c r="F13" s="18" t="s">
        <v>48</v>
      </c>
      <c r="G13" s="7">
        <v>89240.169999999984</v>
      </c>
      <c r="H13" s="7">
        <v>9400</v>
      </c>
      <c r="I13" s="7">
        <v>6365</v>
      </c>
    </row>
    <row r="14" spans="1:9">
      <c r="A14" s="18" t="s">
        <v>38</v>
      </c>
      <c r="B14">
        <v>37696</v>
      </c>
      <c r="C14">
        <v>993</v>
      </c>
      <c r="D14" s="14">
        <f t="shared" ref="D14:D16" si="0">IFERROR(C14/B14,"")</f>
        <v>2.6342317487266554E-2</v>
      </c>
      <c r="F14" s="18" t="s">
        <v>31</v>
      </c>
      <c r="G14" s="7">
        <v>82694.830000000016</v>
      </c>
      <c r="H14" s="7">
        <v>8650</v>
      </c>
      <c r="I14" s="7">
        <v>5600</v>
      </c>
    </row>
    <row r="15" spans="1:9">
      <c r="A15" s="18" t="s">
        <v>43</v>
      </c>
      <c r="B15">
        <v>32865</v>
      </c>
      <c r="C15">
        <v>970</v>
      </c>
      <c r="D15" s="14">
        <f t="shared" si="0"/>
        <v>2.9514681271869771E-2</v>
      </c>
      <c r="F15" s="18" t="s">
        <v>45</v>
      </c>
      <c r="G15" s="7">
        <v>112975.23999999998</v>
      </c>
      <c r="H15" s="7">
        <v>13150</v>
      </c>
      <c r="I15" s="7">
        <v>8985</v>
      </c>
    </row>
    <row r="16" spans="1:9">
      <c r="A16" s="18" t="s">
        <v>190</v>
      </c>
      <c r="B16">
        <v>111912</v>
      </c>
      <c r="C16">
        <v>3290</v>
      </c>
      <c r="D16" s="14">
        <f t="shared" si="0"/>
        <v>2.9398098505968976E-2</v>
      </c>
      <c r="F16" s="18" t="s">
        <v>36</v>
      </c>
      <c r="G16" s="7">
        <v>109831.82000000002</v>
      </c>
      <c r="H16" s="7">
        <v>12500</v>
      </c>
      <c r="I16" s="7">
        <v>8105</v>
      </c>
    </row>
    <row r="17" spans="6:9">
      <c r="F17" s="18" t="s">
        <v>190</v>
      </c>
      <c r="G17" s="7">
        <v>394742.06</v>
      </c>
      <c r="H17" s="7">
        <v>43700</v>
      </c>
      <c r="I17" s="7">
        <v>29055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5B90-421D-4241-8E41-90CDB883FBF7}">
  <dimension ref="A1:V124"/>
  <sheetViews>
    <sheetView workbookViewId="0">
      <selection activeCell="A7" sqref="A7"/>
    </sheetView>
  </sheetViews>
  <sheetFormatPr defaultRowHeight="15"/>
  <cols>
    <col min="1" max="1" width="14.5703125" bestFit="1" customWidth="1"/>
    <col min="2" max="2" width="18.28515625" bestFit="1" customWidth="1"/>
    <col min="3" max="3" width="13.85546875" bestFit="1" customWidth="1"/>
    <col min="4" max="4" width="18.140625" bestFit="1" customWidth="1"/>
    <col min="5" max="5" width="13" bestFit="1" customWidth="1"/>
    <col min="6" max="6" width="10.140625" bestFit="1" customWidth="1"/>
    <col min="7" max="7" width="10.5703125" bestFit="1" customWidth="1"/>
    <col min="8" max="8" width="14.5703125" bestFit="1" customWidth="1"/>
    <col min="9" max="9" width="12.85546875" bestFit="1" customWidth="1"/>
    <col min="10" max="10" width="15.7109375" bestFit="1" customWidth="1"/>
    <col min="11" max="11" width="15.85546875" bestFit="1" customWidth="1"/>
    <col min="12" max="12" width="13.5703125" bestFit="1" customWidth="1"/>
    <col min="13" max="13" width="14.140625" bestFit="1" customWidth="1"/>
    <col min="14" max="14" width="13.42578125" bestFit="1" customWidth="1"/>
    <col min="15" max="15" width="16.28515625" bestFit="1" customWidth="1"/>
    <col min="16" max="16" width="21.7109375" style="13" bestFit="1" customWidth="1"/>
    <col min="17" max="17" width="19.140625" bestFit="1" customWidth="1"/>
    <col min="18" max="18" width="23.7109375" bestFit="1" customWidth="1"/>
    <col min="19" max="19" width="18.140625" style="14" bestFit="1" customWidth="1"/>
    <col min="20" max="20" width="23.28515625" style="6" bestFit="1" customWidth="1"/>
    <col min="21" max="21" width="17.5703125" style="6" bestFit="1" customWidth="1"/>
    <col min="22" max="22" width="26.85546875" style="6" bestFit="1" customWidth="1"/>
  </cols>
  <sheetData>
    <row r="1" spans="1:22" ht="30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12" t="s">
        <v>178</v>
      </c>
      <c r="Q1" s="8" t="s">
        <v>183</v>
      </c>
      <c r="R1" s="8" t="s">
        <v>184</v>
      </c>
      <c r="S1" s="15" t="s">
        <v>185</v>
      </c>
      <c r="T1" s="16" t="s">
        <v>186</v>
      </c>
      <c r="U1" s="16" t="s">
        <v>187</v>
      </c>
      <c r="V1" s="16" t="s">
        <v>188</v>
      </c>
    </row>
    <row r="2" spans="1:22">
      <c r="A2" t="s">
        <v>30</v>
      </c>
      <c r="B2" s="5">
        <v>46284</v>
      </c>
      <c r="C2" t="s">
        <v>31</v>
      </c>
      <c r="D2" t="s">
        <v>32</v>
      </c>
      <c r="E2" t="s">
        <v>33</v>
      </c>
      <c r="F2" t="s">
        <v>34</v>
      </c>
      <c r="G2">
        <v>1300</v>
      </c>
      <c r="H2">
        <v>1382</v>
      </c>
      <c r="I2">
        <v>22</v>
      </c>
      <c r="J2" s="6">
        <v>144.63999999999999</v>
      </c>
      <c r="K2" s="6">
        <v>114.41</v>
      </c>
      <c r="L2">
        <v>5</v>
      </c>
      <c r="M2" s="7">
        <v>4049.92</v>
      </c>
      <c r="N2" s="7">
        <v>500</v>
      </c>
      <c r="O2" s="7">
        <v>275</v>
      </c>
      <c r="P2" s="13" t="str">
        <f>IF(OR(tblClean[[#This Row],[Shift]]="",tblClean[[#This Row],[Actual_Units]]="",tblClean[[#This Row],[Raw_Material_Used_kg]]=""),"Review","OK")</f>
        <v>OK</v>
      </c>
      <c r="Q2" s="14">
        <f>IFERROR(tblClean[[#This Row],[Actual_Units]]/tblClean[[#This Row],[Planned_Units]],"")</f>
        <v>1.063076923076923</v>
      </c>
      <c r="R2">
        <f>IF(OR(tblClean[[#This Row],[Actual_Units]]="",tblClean[[#This Row],[Planned_Units]]=""),"",tblClean[[#This Row],[Actual_Units]]-tblClean[[#This Row],[Planned_Units]])</f>
        <v>82</v>
      </c>
      <c r="S2" s="14">
        <f>IFERROR(tblClean[[#This Row],[Defective_Units]]/tblClean[[#This Row],[Actual_Units]],"")</f>
        <v>1.5918958031837915E-2</v>
      </c>
      <c r="T2" s="6">
        <f>IF(OR(tblClean[[#This Row],[Raw_Material_Used_kg]]="",tblClean[[#This Row],[Standard_Material_kg]]=""),"",tblClean[[#This Row],[Raw_Material_Used_kg]]-tblClean[[#This Row],[Standard_Material_kg]])</f>
        <v>30.22999999999999</v>
      </c>
      <c r="U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4824.92</v>
      </c>
      <c r="V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3.547735294117647</v>
      </c>
    </row>
    <row r="3" spans="1:22">
      <c r="A3" t="s">
        <v>35</v>
      </c>
      <c r="B3" s="5">
        <v>46275</v>
      </c>
      <c r="C3" t="s">
        <v>36</v>
      </c>
      <c r="D3" t="s">
        <v>37</v>
      </c>
      <c r="E3" t="s">
        <v>38</v>
      </c>
      <c r="F3" t="s">
        <v>39</v>
      </c>
      <c r="G3">
        <v>1300</v>
      </c>
      <c r="H3">
        <v>1382</v>
      </c>
      <c r="I3">
        <v>45</v>
      </c>
      <c r="J3" s="6">
        <v>109.51</v>
      </c>
      <c r="K3" s="6">
        <v>119.01</v>
      </c>
      <c r="L3">
        <v>45</v>
      </c>
      <c r="M3" s="7">
        <v>3066.28</v>
      </c>
      <c r="N3" s="7">
        <v>300</v>
      </c>
      <c r="O3" s="7">
        <v>250</v>
      </c>
      <c r="P3" s="13" t="str">
        <f>IF(OR(tblClean[[#This Row],[Shift]]="",tblClean[[#This Row],[Actual_Units]]="",tblClean[[#This Row],[Raw_Material_Used_kg]]=""),"Review","OK")</f>
        <v>OK</v>
      </c>
      <c r="Q3" s="14">
        <f>IFERROR(tblClean[[#This Row],[Actual_Units]]/tblClean[[#This Row],[Planned_Units]],"")</f>
        <v>1.063076923076923</v>
      </c>
      <c r="R3">
        <f>IF(OR(tblClean[[#This Row],[Actual_Units]]="",tblClean[[#This Row],[Planned_Units]]=""),"",tblClean[[#This Row],[Actual_Units]]-tblClean[[#This Row],[Planned_Units]])</f>
        <v>82</v>
      </c>
      <c r="S3" s="14">
        <f>IFERROR(tblClean[[#This Row],[Defective_Units]]/tblClean[[#This Row],[Actual_Units]],"")</f>
        <v>3.2561505065123009E-2</v>
      </c>
      <c r="T3" s="6">
        <f>IF(OR(tblClean[[#This Row],[Raw_Material_Used_kg]]="",tblClean[[#This Row],[Standard_Material_kg]]=""),"",tblClean[[#This Row],[Raw_Material_Used_kg]]-tblClean[[#This Row],[Standard_Material_kg]])</f>
        <v>-9.5</v>
      </c>
      <c r="U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3616.28</v>
      </c>
      <c r="V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2.7047718773373224</v>
      </c>
    </row>
    <row r="4" spans="1:22">
      <c r="A4" t="s">
        <v>40</v>
      </c>
      <c r="B4" s="5">
        <v>46295</v>
      </c>
      <c r="C4" t="s">
        <v>31</v>
      </c>
      <c r="D4" t="s">
        <v>32</v>
      </c>
      <c r="E4" t="s">
        <v>33</v>
      </c>
      <c r="F4" t="s">
        <v>41</v>
      </c>
      <c r="G4">
        <v>800</v>
      </c>
      <c r="H4">
        <v>820</v>
      </c>
      <c r="I4">
        <v>40</v>
      </c>
      <c r="J4" s="6">
        <v>102.55</v>
      </c>
      <c r="K4" s="6">
        <v>70.45</v>
      </c>
      <c r="L4">
        <v>0</v>
      </c>
      <c r="M4" s="7">
        <v>3486.7</v>
      </c>
      <c r="N4" s="7">
        <v>450</v>
      </c>
      <c r="O4" s="7">
        <v>180</v>
      </c>
      <c r="P4" s="13" t="str">
        <f>IF(OR(tblClean[[#This Row],[Shift]]="",tblClean[[#This Row],[Actual_Units]]="",tblClean[[#This Row],[Raw_Material_Used_kg]]=""),"Review","OK")</f>
        <v>OK</v>
      </c>
      <c r="Q4" s="14">
        <f>IFERROR(tblClean[[#This Row],[Actual_Units]]/tblClean[[#This Row],[Planned_Units]],"")</f>
        <v>1.0249999999999999</v>
      </c>
      <c r="R4">
        <f>IF(OR(tblClean[[#This Row],[Actual_Units]]="",tblClean[[#This Row],[Planned_Units]]=""),"",tblClean[[#This Row],[Actual_Units]]-tblClean[[#This Row],[Planned_Units]])</f>
        <v>20</v>
      </c>
      <c r="S4" s="14">
        <f>IFERROR(tblClean[[#This Row],[Defective_Units]]/tblClean[[#This Row],[Actual_Units]],"")</f>
        <v>4.878048780487805E-2</v>
      </c>
      <c r="T4" s="6">
        <f>IF(OR(tblClean[[#This Row],[Raw_Material_Used_kg]]="",tblClean[[#This Row],[Standard_Material_kg]]=""),"",tblClean[[#This Row],[Raw_Material_Used_kg]]-tblClean[[#This Row],[Standard_Material_kg]])</f>
        <v>32.099999999999994</v>
      </c>
      <c r="U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4116.7</v>
      </c>
      <c r="V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5.2778205128205125</v>
      </c>
    </row>
    <row r="5" spans="1:22">
      <c r="A5" t="s">
        <v>42</v>
      </c>
      <c r="B5" s="5">
        <v>46295</v>
      </c>
      <c r="C5" t="s">
        <v>36</v>
      </c>
      <c r="D5" t="s">
        <v>37</v>
      </c>
      <c r="E5" t="s">
        <v>43</v>
      </c>
      <c r="F5" t="s">
        <v>34</v>
      </c>
      <c r="G5">
        <v>800</v>
      </c>
      <c r="H5">
        <v>797</v>
      </c>
      <c r="I5">
        <v>18</v>
      </c>
      <c r="J5" s="6">
        <v>100.6</v>
      </c>
      <c r="K5" s="6">
        <v>75.739999999999995</v>
      </c>
      <c r="L5">
        <v>60</v>
      </c>
      <c r="M5" s="7">
        <v>3420.4</v>
      </c>
      <c r="N5" s="7">
        <v>350</v>
      </c>
      <c r="O5" s="7">
        <v>225</v>
      </c>
      <c r="P5" s="13" t="str">
        <f>IF(OR(tblClean[[#This Row],[Shift]]="",tblClean[[#This Row],[Actual_Units]]="",tblClean[[#This Row],[Raw_Material_Used_kg]]=""),"Review","OK")</f>
        <v>OK</v>
      </c>
      <c r="Q5" s="14">
        <f>IFERROR(tblClean[[#This Row],[Actual_Units]]/tblClean[[#This Row],[Planned_Units]],"")</f>
        <v>0.99624999999999997</v>
      </c>
      <c r="R5">
        <f>IF(OR(tblClean[[#This Row],[Actual_Units]]="",tblClean[[#This Row],[Planned_Units]]=""),"",tblClean[[#This Row],[Actual_Units]]-tblClean[[#This Row],[Planned_Units]])</f>
        <v>-3</v>
      </c>
      <c r="S5" s="14">
        <f>IFERROR(tblClean[[#This Row],[Defective_Units]]/tblClean[[#This Row],[Actual_Units]],"")</f>
        <v>2.258469259723965E-2</v>
      </c>
      <c r="T5" s="6">
        <f>IF(OR(tblClean[[#This Row],[Raw_Material_Used_kg]]="",tblClean[[#This Row],[Standard_Material_kg]]=""),"",tblClean[[#This Row],[Raw_Material_Used_kg]]-tblClean[[#This Row],[Standard_Material_kg]])</f>
        <v>24.86</v>
      </c>
      <c r="U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3995.4</v>
      </c>
      <c r="V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5.1288831835686777</v>
      </c>
    </row>
    <row r="6" spans="1:22">
      <c r="A6" t="s">
        <v>44</v>
      </c>
      <c r="B6" s="5">
        <v>46285</v>
      </c>
      <c r="C6" t="s">
        <v>45</v>
      </c>
      <c r="D6" t="s">
        <v>46</v>
      </c>
      <c r="E6" t="s">
        <v>33</v>
      </c>
      <c r="F6" t="s">
        <v>34</v>
      </c>
      <c r="G6">
        <v>1300</v>
      </c>
      <c r="H6">
        <v>1264</v>
      </c>
      <c r="I6">
        <v>38</v>
      </c>
      <c r="J6" s="6">
        <v>127.44</v>
      </c>
      <c r="K6" s="6">
        <v>113.26</v>
      </c>
      <c r="L6">
        <v>0</v>
      </c>
      <c r="M6" s="7">
        <v>4332.96</v>
      </c>
      <c r="N6" s="7">
        <v>350</v>
      </c>
      <c r="O6" s="7">
        <v>275</v>
      </c>
      <c r="P6" s="13" t="str">
        <f>IF(OR(tblClean[[#This Row],[Shift]]="",tblClean[[#This Row],[Actual_Units]]="",tblClean[[#This Row],[Raw_Material_Used_kg]]=""),"Review","OK")</f>
        <v>OK</v>
      </c>
      <c r="Q6" s="14">
        <f>IFERROR(tblClean[[#This Row],[Actual_Units]]/tblClean[[#This Row],[Planned_Units]],"")</f>
        <v>0.97230769230769232</v>
      </c>
      <c r="R6">
        <f>IF(OR(tblClean[[#This Row],[Actual_Units]]="",tblClean[[#This Row],[Planned_Units]]=""),"",tblClean[[#This Row],[Actual_Units]]-tblClean[[#This Row],[Planned_Units]])</f>
        <v>-36</v>
      </c>
      <c r="S6" s="14">
        <f>IFERROR(tblClean[[#This Row],[Defective_Units]]/tblClean[[#This Row],[Actual_Units]],"")</f>
        <v>3.0063291139240507E-2</v>
      </c>
      <c r="T6" s="6">
        <f>IF(OR(tblClean[[#This Row],[Raw_Material_Used_kg]]="",tblClean[[#This Row],[Standard_Material_kg]]=""),"",tblClean[[#This Row],[Raw_Material_Used_kg]]-tblClean[[#This Row],[Standard_Material_kg]])</f>
        <v>14.179999999999993</v>
      </c>
      <c r="U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4957.96</v>
      </c>
      <c r="V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4.0440130505709622</v>
      </c>
    </row>
    <row r="7" spans="1:22">
      <c r="A7" t="s">
        <v>47</v>
      </c>
      <c r="B7" s="5">
        <v>46295</v>
      </c>
      <c r="C7" t="s">
        <v>48</v>
      </c>
      <c r="D7" t="s">
        <v>49</v>
      </c>
      <c r="E7" t="s">
        <v>43</v>
      </c>
      <c r="F7" t="s">
        <v>41</v>
      </c>
      <c r="G7">
        <v>800</v>
      </c>
      <c r="H7">
        <v>746</v>
      </c>
      <c r="I7">
        <v>30</v>
      </c>
      <c r="J7" s="6">
        <v>94.78</v>
      </c>
      <c r="K7" s="6">
        <v>73.3</v>
      </c>
      <c r="L7">
        <v>15</v>
      </c>
      <c r="M7" s="7">
        <v>2653.84</v>
      </c>
      <c r="N7" s="7">
        <v>350</v>
      </c>
      <c r="O7" s="7">
        <v>180</v>
      </c>
      <c r="P7" s="13" t="str">
        <f>IF(OR(tblClean[[#This Row],[Shift]]="",tblClean[[#This Row],[Actual_Units]]="",tblClean[[#This Row],[Raw_Material_Used_kg]]=""),"Review","OK")</f>
        <v>OK</v>
      </c>
      <c r="Q7" s="14">
        <f>IFERROR(tblClean[[#This Row],[Actual_Units]]/tblClean[[#This Row],[Planned_Units]],"")</f>
        <v>0.9325</v>
      </c>
      <c r="R7">
        <f>IF(OR(tblClean[[#This Row],[Actual_Units]]="",tblClean[[#This Row],[Planned_Units]]=""),"",tblClean[[#This Row],[Actual_Units]]-tblClean[[#This Row],[Planned_Units]])</f>
        <v>-54</v>
      </c>
      <c r="S7" s="14">
        <f>IFERROR(tblClean[[#This Row],[Defective_Units]]/tblClean[[#This Row],[Actual_Units]],"")</f>
        <v>4.0214477211796246E-2</v>
      </c>
      <c r="T7" s="6">
        <f>IF(OR(tblClean[[#This Row],[Raw_Material_Used_kg]]="",tblClean[[#This Row],[Standard_Material_kg]]=""),"",tblClean[[#This Row],[Raw_Material_Used_kg]]-tblClean[[#This Row],[Standard_Material_kg]])</f>
        <v>21.480000000000004</v>
      </c>
      <c r="U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3183.84</v>
      </c>
      <c r="V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4.4467039106145254</v>
      </c>
    </row>
    <row r="8" spans="1:22">
      <c r="A8" t="s">
        <v>50</v>
      </c>
      <c r="B8" s="5">
        <v>46282</v>
      </c>
      <c r="C8" t="s">
        <v>36</v>
      </c>
      <c r="D8" t="s">
        <v>37</v>
      </c>
      <c r="E8" t="s">
        <v>43</v>
      </c>
      <c r="G8">
        <v>1300</v>
      </c>
      <c r="H8">
        <v>1013</v>
      </c>
      <c r="I8">
        <v>46</v>
      </c>
      <c r="J8" s="6">
        <v>107.91</v>
      </c>
      <c r="K8" s="6">
        <v>138.51</v>
      </c>
      <c r="L8">
        <v>60</v>
      </c>
      <c r="M8" s="7">
        <v>3668.94</v>
      </c>
      <c r="N8" s="7">
        <v>300</v>
      </c>
      <c r="O8" s="7">
        <v>225</v>
      </c>
      <c r="P8" s="13" t="str">
        <f>IF(OR(tblClean[[#This Row],[Shift]]="",tblClean[[#This Row],[Actual_Units]]="",tblClean[[#This Row],[Raw_Material_Used_kg]]=""),"Review","OK")</f>
        <v>Review</v>
      </c>
      <c r="Q8" s="14">
        <f>IFERROR(tblClean[[#This Row],[Actual_Units]]/tblClean[[#This Row],[Planned_Units]],"")</f>
        <v>0.77923076923076928</v>
      </c>
      <c r="R8">
        <f>IF(OR(tblClean[[#This Row],[Actual_Units]]="",tblClean[[#This Row],[Planned_Units]]=""),"",tblClean[[#This Row],[Actual_Units]]-tblClean[[#This Row],[Planned_Units]])</f>
        <v>-287</v>
      </c>
      <c r="S8" s="14">
        <f>IFERROR(tblClean[[#This Row],[Defective_Units]]/tblClean[[#This Row],[Actual_Units]],"")</f>
        <v>4.5409674234945706E-2</v>
      </c>
      <c r="T8" s="6">
        <f>IF(OR(tblClean[[#This Row],[Raw_Material_Used_kg]]="",tblClean[[#This Row],[Standard_Material_kg]]=""),"",tblClean[[#This Row],[Raw_Material_Used_kg]]-tblClean[[#This Row],[Standard_Material_kg]])</f>
        <v>-30.599999999999994</v>
      </c>
      <c r="U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4193.9400000000005</v>
      </c>
      <c r="V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4.337063081695967</v>
      </c>
    </row>
    <row r="9" spans="1:22">
      <c r="A9" t="s">
        <v>51</v>
      </c>
      <c r="B9" s="5">
        <v>46281</v>
      </c>
      <c r="C9" t="s">
        <v>45</v>
      </c>
      <c r="D9" t="s">
        <v>46</v>
      </c>
      <c r="E9" t="s">
        <v>38</v>
      </c>
      <c r="F9" t="s">
        <v>39</v>
      </c>
      <c r="G9">
        <v>1000</v>
      </c>
      <c r="H9">
        <v>947</v>
      </c>
      <c r="I9">
        <v>19</v>
      </c>
      <c r="J9" s="6">
        <v>107.94</v>
      </c>
      <c r="K9" s="6">
        <v>104.46</v>
      </c>
      <c r="L9">
        <v>15</v>
      </c>
      <c r="M9" s="7">
        <v>4317.6000000000004</v>
      </c>
      <c r="N9" s="7">
        <v>400</v>
      </c>
      <c r="O9" s="7">
        <v>225</v>
      </c>
      <c r="P9" s="13" t="str">
        <f>IF(OR(tblClean[[#This Row],[Shift]]="",tblClean[[#This Row],[Actual_Units]]="",tblClean[[#This Row],[Raw_Material_Used_kg]]=""),"Review","OK")</f>
        <v>OK</v>
      </c>
      <c r="Q9" s="14">
        <f>IFERROR(tblClean[[#This Row],[Actual_Units]]/tblClean[[#This Row],[Planned_Units]],"")</f>
        <v>0.94699999999999995</v>
      </c>
      <c r="R9">
        <f>IF(OR(tblClean[[#This Row],[Actual_Units]]="",tblClean[[#This Row],[Planned_Units]]=""),"",tblClean[[#This Row],[Actual_Units]]-tblClean[[#This Row],[Planned_Units]])</f>
        <v>-53</v>
      </c>
      <c r="S9" s="14">
        <f>IFERROR(tblClean[[#This Row],[Defective_Units]]/tblClean[[#This Row],[Actual_Units]],"")</f>
        <v>2.0063357972544878E-2</v>
      </c>
      <c r="T9" s="6">
        <f>IF(OR(tblClean[[#This Row],[Raw_Material_Used_kg]]="",tblClean[[#This Row],[Standard_Material_kg]]=""),"",tblClean[[#This Row],[Raw_Material_Used_kg]]-tblClean[[#This Row],[Standard_Material_kg]])</f>
        <v>3.480000000000004</v>
      </c>
      <c r="U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4942.6000000000004</v>
      </c>
      <c r="V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5.326077586206897</v>
      </c>
    </row>
    <row r="10" spans="1:22">
      <c r="A10" t="s">
        <v>52</v>
      </c>
      <c r="B10" s="5">
        <v>46293</v>
      </c>
      <c r="C10" t="s">
        <v>45</v>
      </c>
      <c r="D10" t="s">
        <v>46</v>
      </c>
      <c r="E10" t="s">
        <v>38</v>
      </c>
      <c r="F10" t="s">
        <v>39</v>
      </c>
      <c r="G10">
        <v>1000</v>
      </c>
      <c r="H10">
        <v>735</v>
      </c>
      <c r="I10">
        <v>27</v>
      </c>
      <c r="J10" s="6">
        <v>67.97</v>
      </c>
      <c r="K10" s="6">
        <v>96.83</v>
      </c>
      <c r="L10">
        <v>60</v>
      </c>
      <c r="M10" s="7">
        <v>1903.16</v>
      </c>
      <c r="N10" s="7">
        <v>400</v>
      </c>
      <c r="O10" s="7">
        <v>250</v>
      </c>
      <c r="P10" s="13" t="str">
        <f>IF(OR(tblClean[[#This Row],[Shift]]="",tblClean[[#This Row],[Actual_Units]]="",tblClean[[#This Row],[Raw_Material_Used_kg]]=""),"Review","OK")</f>
        <v>OK</v>
      </c>
      <c r="Q10" s="14">
        <f>IFERROR(tblClean[[#This Row],[Actual_Units]]/tblClean[[#This Row],[Planned_Units]],"")</f>
        <v>0.73499999999999999</v>
      </c>
      <c r="R10">
        <f>IF(OR(tblClean[[#This Row],[Actual_Units]]="",tblClean[[#This Row],[Planned_Units]]=""),"",tblClean[[#This Row],[Actual_Units]]-tblClean[[#This Row],[Planned_Units]])</f>
        <v>-265</v>
      </c>
      <c r="S10" s="14">
        <f>IFERROR(tblClean[[#This Row],[Defective_Units]]/tblClean[[#This Row],[Actual_Units]],"")</f>
        <v>3.6734693877551024E-2</v>
      </c>
      <c r="T10" s="6">
        <f>IF(OR(tblClean[[#This Row],[Raw_Material_Used_kg]]="",tblClean[[#This Row],[Standard_Material_kg]]=""),"",tblClean[[#This Row],[Raw_Material_Used_kg]]-tblClean[[#This Row],[Standard_Material_kg]])</f>
        <v>-28.86</v>
      </c>
      <c r="U1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2553.16</v>
      </c>
      <c r="V1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3.6061581920903953</v>
      </c>
    </row>
    <row r="11" spans="1:22">
      <c r="A11" t="s">
        <v>53</v>
      </c>
      <c r="B11" s="5">
        <v>46275</v>
      </c>
      <c r="C11" t="s">
        <v>36</v>
      </c>
      <c r="D11" t="s">
        <v>37</v>
      </c>
      <c r="E11" t="s">
        <v>38</v>
      </c>
      <c r="F11" t="s">
        <v>39</v>
      </c>
      <c r="G11">
        <v>900</v>
      </c>
      <c r="H11">
        <v>835</v>
      </c>
      <c r="I11">
        <v>15</v>
      </c>
      <c r="J11" s="6">
        <v>78.92</v>
      </c>
      <c r="K11" s="6">
        <v>73.819999999999993</v>
      </c>
      <c r="L11">
        <v>0</v>
      </c>
      <c r="M11" s="7">
        <v>2683.28</v>
      </c>
      <c r="N11" s="7">
        <v>350</v>
      </c>
      <c r="O11" s="7">
        <v>225</v>
      </c>
      <c r="P11" s="13" t="str">
        <f>IF(OR(tblClean[[#This Row],[Shift]]="",tblClean[[#This Row],[Actual_Units]]="",tblClean[[#This Row],[Raw_Material_Used_kg]]=""),"Review","OK")</f>
        <v>OK</v>
      </c>
      <c r="Q11" s="14">
        <f>IFERROR(tblClean[[#This Row],[Actual_Units]]/tblClean[[#This Row],[Planned_Units]],"")</f>
        <v>0.92777777777777781</v>
      </c>
      <c r="R11">
        <f>IF(OR(tblClean[[#This Row],[Actual_Units]]="",tblClean[[#This Row],[Planned_Units]]=""),"",tblClean[[#This Row],[Actual_Units]]-tblClean[[#This Row],[Planned_Units]])</f>
        <v>-65</v>
      </c>
      <c r="S11" s="14">
        <f>IFERROR(tblClean[[#This Row],[Defective_Units]]/tblClean[[#This Row],[Actual_Units]],"")</f>
        <v>1.7964071856287425E-2</v>
      </c>
      <c r="T11" s="6">
        <f>IF(OR(tblClean[[#This Row],[Raw_Material_Used_kg]]="",tblClean[[#This Row],[Standard_Material_kg]]=""),"",tblClean[[#This Row],[Raw_Material_Used_kg]]-tblClean[[#This Row],[Standard_Material_kg]])</f>
        <v>5.1000000000000085</v>
      </c>
      <c r="U1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3258.28</v>
      </c>
      <c r="V1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3.9735121951219514</v>
      </c>
    </row>
    <row r="12" spans="1:22">
      <c r="A12" t="s">
        <v>54</v>
      </c>
      <c r="B12" s="5">
        <v>46273</v>
      </c>
      <c r="C12" t="s">
        <v>48</v>
      </c>
      <c r="D12" t="s">
        <v>49</v>
      </c>
      <c r="E12" t="s">
        <v>33</v>
      </c>
      <c r="F12" t="s">
        <v>39</v>
      </c>
      <c r="G12">
        <v>900</v>
      </c>
      <c r="H12">
        <v>960</v>
      </c>
      <c r="I12">
        <v>35</v>
      </c>
      <c r="J12" s="6">
        <v>90.08</v>
      </c>
      <c r="K12" s="6">
        <v>86.85</v>
      </c>
      <c r="L12">
        <v>5</v>
      </c>
      <c r="M12" s="7">
        <v>3332.96</v>
      </c>
      <c r="N12" s="7">
        <v>450</v>
      </c>
      <c r="O12" s="7">
        <v>180</v>
      </c>
      <c r="P12" s="13" t="str">
        <f>IF(OR(tblClean[[#This Row],[Shift]]="",tblClean[[#This Row],[Actual_Units]]="",tblClean[[#This Row],[Raw_Material_Used_kg]]=""),"Review","OK")</f>
        <v>OK</v>
      </c>
      <c r="Q12" s="14">
        <f>IFERROR(tblClean[[#This Row],[Actual_Units]]/tblClean[[#This Row],[Planned_Units]],"")</f>
        <v>1.0666666666666667</v>
      </c>
      <c r="R12">
        <f>IF(OR(tblClean[[#This Row],[Actual_Units]]="",tblClean[[#This Row],[Planned_Units]]=""),"",tblClean[[#This Row],[Actual_Units]]-tblClean[[#This Row],[Planned_Units]])</f>
        <v>60</v>
      </c>
      <c r="S12" s="14">
        <f>IFERROR(tblClean[[#This Row],[Defective_Units]]/tblClean[[#This Row],[Actual_Units]],"")</f>
        <v>3.6458333333333336E-2</v>
      </c>
      <c r="T12" s="6">
        <f>IF(OR(tblClean[[#This Row],[Raw_Material_Used_kg]]="",tblClean[[#This Row],[Standard_Material_kg]]=""),"",tblClean[[#This Row],[Raw_Material_Used_kg]]-tblClean[[#This Row],[Standard_Material_kg]])</f>
        <v>3.230000000000004</v>
      </c>
      <c r="U1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3962.96</v>
      </c>
      <c r="V1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4.2842810810810814</v>
      </c>
    </row>
    <row r="13" spans="1:22">
      <c r="A13" t="s">
        <v>55</v>
      </c>
      <c r="B13" s="5">
        <v>46292</v>
      </c>
      <c r="C13" t="s">
        <v>36</v>
      </c>
      <c r="D13" t="s">
        <v>37</v>
      </c>
      <c r="E13" t="s">
        <v>33</v>
      </c>
      <c r="F13" t="s">
        <v>39</v>
      </c>
      <c r="G13">
        <v>800</v>
      </c>
      <c r="H13">
        <v>759</v>
      </c>
      <c r="I13">
        <v>11</v>
      </c>
      <c r="J13" s="6">
        <v>83.88</v>
      </c>
      <c r="K13" s="6">
        <v>72.709999999999994</v>
      </c>
      <c r="L13">
        <v>20</v>
      </c>
      <c r="M13" s="7">
        <v>2348.64</v>
      </c>
      <c r="N13" s="7">
        <v>450</v>
      </c>
      <c r="O13" s="7">
        <v>180</v>
      </c>
      <c r="P13" s="13" t="str">
        <f>IF(OR(tblClean[[#This Row],[Shift]]="",tblClean[[#This Row],[Actual_Units]]="",tblClean[[#This Row],[Raw_Material_Used_kg]]=""),"Review","OK")</f>
        <v>OK</v>
      </c>
      <c r="Q13" s="14">
        <f>IFERROR(tblClean[[#This Row],[Actual_Units]]/tblClean[[#This Row],[Planned_Units]],"")</f>
        <v>0.94874999999999998</v>
      </c>
      <c r="R13">
        <f>IF(OR(tblClean[[#This Row],[Actual_Units]]="",tblClean[[#This Row],[Planned_Units]]=""),"",tblClean[[#This Row],[Actual_Units]]-tblClean[[#This Row],[Planned_Units]])</f>
        <v>-41</v>
      </c>
      <c r="S13" s="14">
        <f>IFERROR(tblClean[[#This Row],[Defective_Units]]/tblClean[[#This Row],[Actual_Units]],"")</f>
        <v>1.4492753623188406E-2</v>
      </c>
      <c r="T13" s="6">
        <f>IF(OR(tblClean[[#This Row],[Raw_Material_Used_kg]]="",tblClean[[#This Row],[Standard_Material_kg]]=""),"",tblClean[[#This Row],[Raw_Material_Used_kg]]-tblClean[[#This Row],[Standard_Material_kg]])</f>
        <v>11.170000000000002</v>
      </c>
      <c r="U1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2978.64</v>
      </c>
      <c r="V1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3.9821390374331549</v>
      </c>
    </row>
    <row r="14" spans="1:22">
      <c r="A14" t="s">
        <v>56</v>
      </c>
      <c r="B14" s="5">
        <v>46268</v>
      </c>
      <c r="C14" t="s">
        <v>45</v>
      </c>
      <c r="D14" t="s">
        <v>46</v>
      </c>
      <c r="E14" t="s">
        <v>33</v>
      </c>
      <c r="F14" t="s">
        <v>41</v>
      </c>
      <c r="G14">
        <v>800</v>
      </c>
      <c r="H14">
        <v>701</v>
      </c>
      <c r="I14">
        <v>27</v>
      </c>
      <c r="J14" s="6">
        <v>82.36</v>
      </c>
      <c r="K14" s="6">
        <v>79.83</v>
      </c>
      <c r="L14">
        <v>45</v>
      </c>
      <c r="M14" s="7">
        <v>3294.4</v>
      </c>
      <c r="N14" s="7">
        <v>400</v>
      </c>
      <c r="O14" s="7">
        <v>275</v>
      </c>
      <c r="P14" s="13" t="str">
        <f>IF(OR(tblClean[[#This Row],[Shift]]="",tblClean[[#This Row],[Actual_Units]]="",tblClean[[#This Row],[Raw_Material_Used_kg]]=""),"Review","OK")</f>
        <v>OK</v>
      </c>
      <c r="Q14" s="14">
        <f>IFERROR(tblClean[[#This Row],[Actual_Units]]/tblClean[[#This Row],[Planned_Units]],"")</f>
        <v>0.87624999999999997</v>
      </c>
      <c r="R14">
        <f>IF(OR(tblClean[[#This Row],[Actual_Units]]="",tblClean[[#This Row],[Planned_Units]]=""),"",tblClean[[#This Row],[Actual_Units]]-tblClean[[#This Row],[Planned_Units]])</f>
        <v>-99</v>
      </c>
      <c r="S14" s="14">
        <f>IFERROR(tblClean[[#This Row],[Defective_Units]]/tblClean[[#This Row],[Actual_Units]],"")</f>
        <v>3.8516405135520682E-2</v>
      </c>
      <c r="T14" s="6">
        <f>IF(OR(tblClean[[#This Row],[Raw_Material_Used_kg]]="",tblClean[[#This Row],[Standard_Material_kg]]=""),"",tblClean[[#This Row],[Raw_Material_Used_kg]]-tblClean[[#This Row],[Standard_Material_kg]])</f>
        <v>2.5300000000000011</v>
      </c>
      <c r="U1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3969.4</v>
      </c>
      <c r="V1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5.8893175074183981</v>
      </c>
    </row>
    <row r="15" spans="1:22">
      <c r="A15" t="s">
        <v>57</v>
      </c>
      <c r="B15" s="5">
        <v>46290</v>
      </c>
      <c r="C15" t="s">
        <v>31</v>
      </c>
      <c r="D15" t="s">
        <v>32</v>
      </c>
      <c r="E15" t="s">
        <v>33</v>
      </c>
      <c r="F15" t="s">
        <v>34</v>
      </c>
      <c r="G15">
        <v>1200</v>
      </c>
      <c r="H15">
        <v>1103</v>
      </c>
      <c r="I15">
        <v>30</v>
      </c>
      <c r="J15" s="6">
        <v>137.81</v>
      </c>
      <c r="K15" s="6">
        <v>101.96</v>
      </c>
      <c r="L15">
        <v>5</v>
      </c>
      <c r="M15" s="7">
        <v>5098.97</v>
      </c>
      <c r="N15" s="7">
        <v>300</v>
      </c>
      <c r="O15" s="7">
        <v>225</v>
      </c>
      <c r="P15" s="13" t="str">
        <f>IF(OR(tblClean[[#This Row],[Shift]]="",tblClean[[#This Row],[Actual_Units]]="",tblClean[[#This Row],[Raw_Material_Used_kg]]=""),"Review","OK")</f>
        <v>OK</v>
      </c>
      <c r="Q15" s="14">
        <f>IFERROR(tblClean[[#This Row],[Actual_Units]]/tblClean[[#This Row],[Planned_Units]],"")</f>
        <v>0.91916666666666669</v>
      </c>
      <c r="R15">
        <f>IF(OR(tblClean[[#This Row],[Actual_Units]]="",tblClean[[#This Row],[Planned_Units]]=""),"",tblClean[[#This Row],[Actual_Units]]-tblClean[[#This Row],[Planned_Units]])</f>
        <v>-97</v>
      </c>
      <c r="S15" s="14">
        <f>IFERROR(tblClean[[#This Row],[Defective_Units]]/tblClean[[#This Row],[Actual_Units]],"")</f>
        <v>2.7198549410698096E-2</v>
      </c>
      <c r="T15" s="6">
        <f>IF(OR(tblClean[[#This Row],[Raw_Material_Used_kg]]="",tblClean[[#This Row],[Standard_Material_kg]]=""),"",tblClean[[#This Row],[Raw_Material_Used_kg]]-tblClean[[#This Row],[Standard_Material_kg]])</f>
        <v>35.850000000000009</v>
      </c>
      <c r="U1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5623.97</v>
      </c>
      <c r="V1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5.2413513513513514</v>
      </c>
    </row>
    <row r="16" spans="1:22">
      <c r="A16" t="s">
        <v>58</v>
      </c>
      <c r="B16" s="5">
        <v>46283</v>
      </c>
      <c r="C16" t="s">
        <v>31</v>
      </c>
      <c r="D16" t="s">
        <v>32</v>
      </c>
      <c r="E16" t="s">
        <v>43</v>
      </c>
      <c r="F16" t="s">
        <v>39</v>
      </c>
      <c r="G16">
        <v>1200</v>
      </c>
      <c r="H16">
        <v>1257</v>
      </c>
      <c r="I16">
        <v>46</v>
      </c>
      <c r="J16" s="6">
        <v>101.41</v>
      </c>
      <c r="K16" s="6">
        <v>97</v>
      </c>
      <c r="L16">
        <v>10</v>
      </c>
      <c r="M16" s="7">
        <v>3447.94</v>
      </c>
      <c r="N16" s="7">
        <v>350</v>
      </c>
      <c r="O16" s="7">
        <v>200</v>
      </c>
      <c r="P16" s="13" t="str">
        <f>IF(OR(tblClean[[#This Row],[Shift]]="",tblClean[[#This Row],[Actual_Units]]="",tblClean[[#This Row],[Raw_Material_Used_kg]]=""),"Review","OK")</f>
        <v>OK</v>
      </c>
      <c r="Q16" s="14">
        <f>IFERROR(tblClean[[#This Row],[Actual_Units]]/tblClean[[#This Row],[Planned_Units]],"")</f>
        <v>1.0475000000000001</v>
      </c>
      <c r="R16">
        <f>IF(OR(tblClean[[#This Row],[Actual_Units]]="",tblClean[[#This Row],[Planned_Units]]=""),"",tblClean[[#This Row],[Actual_Units]]-tblClean[[#This Row],[Planned_Units]])</f>
        <v>57</v>
      </c>
      <c r="S16" s="14">
        <f>IFERROR(tblClean[[#This Row],[Defective_Units]]/tblClean[[#This Row],[Actual_Units]],"")</f>
        <v>3.6595067621320608E-2</v>
      </c>
      <c r="T16" s="6">
        <f>IF(OR(tblClean[[#This Row],[Raw_Material_Used_kg]]="",tblClean[[#This Row],[Standard_Material_kg]]=""),"",tblClean[[#This Row],[Raw_Material_Used_kg]]-tblClean[[#This Row],[Standard_Material_kg]])</f>
        <v>4.4099999999999966</v>
      </c>
      <c r="U1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3997.94</v>
      </c>
      <c r="V1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3.3013542526837325</v>
      </c>
    </row>
    <row r="17" spans="1:22">
      <c r="A17" t="s">
        <v>59</v>
      </c>
      <c r="B17" s="5">
        <v>46270</v>
      </c>
      <c r="C17" t="s">
        <v>48</v>
      </c>
      <c r="D17" t="s">
        <v>49</v>
      </c>
      <c r="E17" t="s">
        <v>33</v>
      </c>
      <c r="F17" t="s">
        <v>34</v>
      </c>
      <c r="G17">
        <v>1200</v>
      </c>
      <c r="H17">
        <v>1265</v>
      </c>
      <c r="I17">
        <v>63</v>
      </c>
      <c r="J17" s="6">
        <v>161.66999999999999</v>
      </c>
      <c r="K17" s="6">
        <v>118.02</v>
      </c>
      <c r="L17">
        <v>45</v>
      </c>
      <c r="M17" s="7">
        <v>6466.8</v>
      </c>
      <c r="N17" s="7">
        <v>250</v>
      </c>
      <c r="O17" s="7">
        <v>300</v>
      </c>
      <c r="P17" s="13" t="str">
        <f>IF(OR(tblClean[[#This Row],[Shift]]="",tblClean[[#This Row],[Actual_Units]]="",tblClean[[#This Row],[Raw_Material_Used_kg]]=""),"Review","OK")</f>
        <v>OK</v>
      </c>
      <c r="Q17" s="14">
        <f>IFERROR(tblClean[[#This Row],[Actual_Units]]/tblClean[[#This Row],[Planned_Units]],"")</f>
        <v>1.0541666666666667</v>
      </c>
      <c r="R17">
        <f>IF(OR(tblClean[[#This Row],[Actual_Units]]="",tblClean[[#This Row],[Planned_Units]]=""),"",tblClean[[#This Row],[Actual_Units]]-tblClean[[#This Row],[Planned_Units]])</f>
        <v>65</v>
      </c>
      <c r="S17" s="14">
        <f>IFERROR(tblClean[[#This Row],[Defective_Units]]/tblClean[[#This Row],[Actual_Units]],"")</f>
        <v>4.9802371541501973E-2</v>
      </c>
      <c r="T17" s="6">
        <f>IF(OR(tblClean[[#This Row],[Raw_Material_Used_kg]]="",tblClean[[#This Row],[Standard_Material_kg]]=""),"",tblClean[[#This Row],[Raw_Material_Used_kg]]-tblClean[[#This Row],[Standard_Material_kg]])</f>
        <v>43.649999999999991</v>
      </c>
      <c r="U1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7016.8</v>
      </c>
      <c r="V1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5.8376039933444259</v>
      </c>
    </row>
    <row r="18" spans="1:22">
      <c r="A18" t="s">
        <v>60</v>
      </c>
      <c r="B18" s="5">
        <v>46287</v>
      </c>
      <c r="C18" t="s">
        <v>45</v>
      </c>
      <c r="D18" t="s">
        <v>46</v>
      </c>
      <c r="E18" t="s">
        <v>33</v>
      </c>
      <c r="F18" t="s">
        <v>34</v>
      </c>
      <c r="G18">
        <v>1000</v>
      </c>
      <c r="H18">
        <v>733</v>
      </c>
      <c r="I18">
        <v>29</v>
      </c>
      <c r="J18" s="6">
        <v>72.64</v>
      </c>
      <c r="K18" s="6">
        <v>107.3</v>
      </c>
      <c r="L18">
        <v>15</v>
      </c>
      <c r="M18" s="7">
        <v>2687.68</v>
      </c>
      <c r="N18" s="7">
        <v>400</v>
      </c>
      <c r="O18" s="7">
        <v>300</v>
      </c>
      <c r="P18" s="13" t="str">
        <f>IF(OR(tblClean[[#This Row],[Shift]]="",tblClean[[#This Row],[Actual_Units]]="",tblClean[[#This Row],[Raw_Material_Used_kg]]=""),"Review","OK")</f>
        <v>OK</v>
      </c>
      <c r="Q18" s="14">
        <f>IFERROR(tblClean[[#This Row],[Actual_Units]]/tblClean[[#This Row],[Planned_Units]],"")</f>
        <v>0.73299999999999998</v>
      </c>
      <c r="R18">
        <f>IF(OR(tblClean[[#This Row],[Actual_Units]]="",tblClean[[#This Row],[Planned_Units]]=""),"",tblClean[[#This Row],[Actual_Units]]-tblClean[[#This Row],[Planned_Units]])</f>
        <v>-267</v>
      </c>
      <c r="S18" s="14">
        <f>IFERROR(tblClean[[#This Row],[Defective_Units]]/tblClean[[#This Row],[Actual_Units]],"")</f>
        <v>3.9563437926330151E-2</v>
      </c>
      <c r="T18" s="6">
        <f>IF(OR(tblClean[[#This Row],[Raw_Material_Used_kg]]="",tblClean[[#This Row],[Standard_Material_kg]]=""),"",tblClean[[#This Row],[Raw_Material_Used_kg]]-tblClean[[#This Row],[Standard_Material_kg]])</f>
        <v>-34.659999999999997</v>
      </c>
      <c r="U1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3387.68</v>
      </c>
      <c r="V1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4.8120454545454541</v>
      </c>
    </row>
    <row r="19" spans="1:22">
      <c r="A19" t="s">
        <v>61</v>
      </c>
      <c r="B19" s="5">
        <v>46267</v>
      </c>
      <c r="C19" t="s">
        <v>31</v>
      </c>
      <c r="D19" t="s">
        <v>32</v>
      </c>
      <c r="E19" t="s">
        <v>43</v>
      </c>
      <c r="F19" t="s">
        <v>34</v>
      </c>
      <c r="G19">
        <v>1300</v>
      </c>
      <c r="H19">
        <v>1369</v>
      </c>
      <c r="I19">
        <v>48</v>
      </c>
      <c r="J19" s="6">
        <v>118.3</v>
      </c>
      <c r="K19" s="6">
        <v>128.34</v>
      </c>
      <c r="L19">
        <v>5</v>
      </c>
      <c r="M19" s="7">
        <v>4022.2</v>
      </c>
      <c r="N19" s="7">
        <v>350</v>
      </c>
      <c r="O19" s="7">
        <v>250</v>
      </c>
      <c r="P19" s="13" t="str">
        <f>IF(OR(tblClean[[#This Row],[Shift]]="",tblClean[[#This Row],[Actual_Units]]="",tblClean[[#This Row],[Raw_Material_Used_kg]]=""),"Review","OK")</f>
        <v>OK</v>
      </c>
      <c r="Q19" s="14">
        <f>IFERROR(tblClean[[#This Row],[Actual_Units]]/tblClean[[#This Row],[Planned_Units]],"")</f>
        <v>1.053076923076923</v>
      </c>
      <c r="R19">
        <f>IF(OR(tblClean[[#This Row],[Actual_Units]]="",tblClean[[#This Row],[Planned_Units]]=""),"",tblClean[[#This Row],[Actual_Units]]-tblClean[[#This Row],[Planned_Units]])</f>
        <v>69</v>
      </c>
      <c r="S19" s="14">
        <f>IFERROR(tblClean[[#This Row],[Defective_Units]]/tblClean[[#This Row],[Actual_Units]],"")</f>
        <v>3.5062089116143169E-2</v>
      </c>
      <c r="T19" s="6">
        <f>IF(OR(tblClean[[#This Row],[Raw_Material_Used_kg]]="",tblClean[[#This Row],[Standard_Material_kg]]=""),"",tblClean[[#This Row],[Raw_Material_Used_kg]]-tblClean[[#This Row],[Standard_Material_kg]])</f>
        <v>-10.040000000000006</v>
      </c>
      <c r="U1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4622.2</v>
      </c>
      <c r="V1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3.4990158970476912</v>
      </c>
    </row>
    <row r="20" spans="1:22">
      <c r="A20" t="s">
        <v>62</v>
      </c>
      <c r="B20" s="5">
        <v>46282</v>
      </c>
      <c r="C20" t="s">
        <v>31</v>
      </c>
      <c r="D20" t="s">
        <v>32</v>
      </c>
      <c r="E20" t="s">
        <v>43</v>
      </c>
      <c r="F20" t="s">
        <v>39</v>
      </c>
      <c r="G20">
        <v>1200</v>
      </c>
      <c r="I20">
        <v>41</v>
      </c>
      <c r="J20" s="6">
        <v>128.13999999999999</v>
      </c>
      <c r="K20" s="6">
        <v>112.63</v>
      </c>
      <c r="L20">
        <v>10</v>
      </c>
      <c r="M20" s="7">
        <v>3587.92</v>
      </c>
      <c r="N20" s="7">
        <v>500</v>
      </c>
      <c r="O20" s="7">
        <v>275</v>
      </c>
      <c r="P20" s="13" t="str">
        <f>IF(OR(tblClean[[#This Row],[Shift]]="",tblClean[[#This Row],[Actual_Units]]="",tblClean[[#This Row],[Raw_Material_Used_kg]]=""),"Review","OK")</f>
        <v>Review</v>
      </c>
      <c r="Q20" s="14">
        <f>IFERROR(tblClean[[#This Row],[Actual_Units]]/tblClean[[#This Row],[Planned_Units]],"")</f>
        <v>0</v>
      </c>
      <c r="R20" t="str">
        <f>IF(OR(tblClean[[#This Row],[Actual_Units]]="",tblClean[[#This Row],[Planned_Units]]=""),"",tblClean[[#This Row],[Actual_Units]]-tblClean[[#This Row],[Planned_Units]])</f>
        <v/>
      </c>
      <c r="S20" s="14" t="str">
        <f>IFERROR(tblClean[[#This Row],[Defective_Units]]/tblClean[[#This Row],[Actual_Units]],"")</f>
        <v/>
      </c>
      <c r="T20" s="6">
        <f>IF(OR(tblClean[[#This Row],[Raw_Material_Used_kg]]="",tblClean[[#This Row],[Standard_Material_kg]]=""),"",tblClean[[#This Row],[Raw_Material_Used_kg]]-tblClean[[#This Row],[Standard_Material_kg]])</f>
        <v>15.509999999999991</v>
      </c>
      <c r="U2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4362.92</v>
      </c>
      <c r="V20" s="6" t="str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/>
      </c>
    </row>
    <row r="21" spans="1:22">
      <c r="A21" t="s">
        <v>63</v>
      </c>
      <c r="B21" s="5">
        <v>46276</v>
      </c>
      <c r="C21" t="s">
        <v>48</v>
      </c>
      <c r="D21" t="s">
        <v>49</v>
      </c>
      <c r="E21" t="s">
        <v>43</v>
      </c>
      <c r="F21" t="s">
        <v>34</v>
      </c>
      <c r="G21">
        <v>1300</v>
      </c>
      <c r="H21">
        <v>988</v>
      </c>
      <c r="I21">
        <v>31</v>
      </c>
      <c r="J21" s="6">
        <v>122.74</v>
      </c>
      <c r="K21" s="6">
        <v>104.2</v>
      </c>
      <c r="L21">
        <v>45</v>
      </c>
      <c r="M21" s="7">
        <v>4173.16</v>
      </c>
      <c r="N21" s="7">
        <v>450</v>
      </c>
      <c r="O21" s="7">
        <v>275</v>
      </c>
      <c r="P21" s="13" t="str">
        <f>IF(OR(tblClean[[#This Row],[Shift]]="",tblClean[[#This Row],[Actual_Units]]="",tblClean[[#This Row],[Raw_Material_Used_kg]]=""),"Review","OK")</f>
        <v>OK</v>
      </c>
      <c r="Q21" s="14">
        <f>IFERROR(tblClean[[#This Row],[Actual_Units]]/tblClean[[#This Row],[Planned_Units]],"")</f>
        <v>0.76</v>
      </c>
      <c r="R21">
        <f>IF(OR(tblClean[[#This Row],[Actual_Units]]="",tblClean[[#This Row],[Planned_Units]]=""),"",tblClean[[#This Row],[Actual_Units]]-tblClean[[#This Row],[Planned_Units]])</f>
        <v>-312</v>
      </c>
      <c r="S21" s="14">
        <f>IFERROR(tblClean[[#This Row],[Defective_Units]]/tblClean[[#This Row],[Actual_Units]],"")</f>
        <v>3.137651821862348E-2</v>
      </c>
      <c r="T21" s="6">
        <f>IF(OR(tblClean[[#This Row],[Raw_Material_Used_kg]]="",tblClean[[#This Row],[Standard_Material_kg]]=""),"",tblClean[[#This Row],[Raw_Material_Used_kg]]-tblClean[[#This Row],[Standard_Material_kg]])</f>
        <v>18.539999999999992</v>
      </c>
      <c r="U2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4898.16</v>
      </c>
      <c r="V2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5.1182445141065829</v>
      </c>
    </row>
    <row r="22" spans="1:22">
      <c r="A22" t="s">
        <v>64</v>
      </c>
      <c r="B22" s="5">
        <v>46282</v>
      </c>
      <c r="C22" t="s">
        <v>36</v>
      </c>
      <c r="D22" t="s">
        <v>37</v>
      </c>
      <c r="E22" t="s">
        <v>38</v>
      </c>
      <c r="F22" t="s">
        <v>39</v>
      </c>
      <c r="G22">
        <v>1200</v>
      </c>
      <c r="H22">
        <v>927</v>
      </c>
      <c r="I22">
        <v>46</v>
      </c>
      <c r="J22" s="6">
        <v>103.55</v>
      </c>
      <c r="K22" s="6">
        <v>111.52</v>
      </c>
      <c r="L22">
        <v>10</v>
      </c>
      <c r="M22" s="7">
        <v>2899.4</v>
      </c>
      <c r="N22" s="7">
        <v>250</v>
      </c>
      <c r="O22" s="7">
        <v>225</v>
      </c>
      <c r="P22" s="13" t="str">
        <f>IF(OR(tblClean[[#This Row],[Shift]]="",tblClean[[#This Row],[Actual_Units]]="",tblClean[[#This Row],[Raw_Material_Used_kg]]=""),"Review","OK")</f>
        <v>OK</v>
      </c>
      <c r="Q22" s="14">
        <f>IFERROR(tblClean[[#This Row],[Actual_Units]]/tblClean[[#This Row],[Planned_Units]],"")</f>
        <v>0.77249999999999996</v>
      </c>
      <c r="R22">
        <f>IF(OR(tblClean[[#This Row],[Actual_Units]]="",tblClean[[#This Row],[Planned_Units]]=""),"",tblClean[[#This Row],[Actual_Units]]-tblClean[[#This Row],[Planned_Units]])</f>
        <v>-273</v>
      </c>
      <c r="S22" s="14">
        <f>IFERROR(tblClean[[#This Row],[Defective_Units]]/tblClean[[#This Row],[Actual_Units]],"")</f>
        <v>4.9622437971952538E-2</v>
      </c>
      <c r="T22" s="6">
        <f>IF(OR(tblClean[[#This Row],[Raw_Material_Used_kg]]="",tblClean[[#This Row],[Standard_Material_kg]]=""),"",tblClean[[#This Row],[Raw_Material_Used_kg]]-tblClean[[#This Row],[Standard_Material_kg]])</f>
        <v>-7.9699999999999989</v>
      </c>
      <c r="U2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3374.4</v>
      </c>
      <c r="V2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3.8301929625425655</v>
      </c>
    </row>
    <row r="23" spans="1:22">
      <c r="A23" t="s">
        <v>65</v>
      </c>
      <c r="B23" s="5">
        <v>46277</v>
      </c>
      <c r="C23" t="s">
        <v>36</v>
      </c>
      <c r="D23" t="s">
        <v>37</v>
      </c>
      <c r="E23" t="s">
        <v>43</v>
      </c>
      <c r="F23" t="s">
        <v>41</v>
      </c>
      <c r="G23">
        <v>1000</v>
      </c>
      <c r="H23">
        <v>813</v>
      </c>
      <c r="I23">
        <v>14</v>
      </c>
      <c r="J23" s="6">
        <v>101.78</v>
      </c>
      <c r="K23" s="6">
        <v>88.99</v>
      </c>
      <c r="L23">
        <v>30</v>
      </c>
      <c r="M23" s="7">
        <v>2849.84</v>
      </c>
      <c r="N23" s="7">
        <v>300</v>
      </c>
      <c r="O23" s="7">
        <v>300</v>
      </c>
      <c r="P23" s="13" t="str">
        <f>IF(OR(tblClean[[#This Row],[Shift]]="",tblClean[[#This Row],[Actual_Units]]="",tblClean[[#This Row],[Raw_Material_Used_kg]]=""),"Review","OK")</f>
        <v>OK</v>
      </c>
      <c r="Q23" s="14">
        <f>IFERROR(tblClean[[#This Row],[Actual_Units]]/tblClean[[#This Row],[Planned_Units]],"")</f>
        <v>0.81299999999999994</v>
      </c>
      <c r="R23">
        <f>IF(OR(tblClean[[#This Row],[Actual_Units]]="",tblClean[[#This Row],[Planned_Units]]=""),"",tblClean[[#This Row],[Actual_Units]]-tblClean[[#This Row],[Planned_Units]])</f>
        <v>-187</v>
      </c>
      <c r="S23" s="14">
        <f>IFERROR(tblClean[[#This Row],[Defective_Units]]/tblClean[[#This Row],[Actual_Units]],"")</f>
        <v>1.7220172201722016E-2</v>
      </c>
      <c r="T23" s="6">
        <f>IF(OR(tblClean[[#This Row],[Raw_Material_Used_kg]]="",tblClean[[#This Row],[Standard_Material_kg]]=""),"",tblClean[[#This Row],[Raw_Material_Used_kg]]-tblClean[[#This Row],[Standard_Material_kg]])</f>
        <v>12.790000000000006</v>
      </c>
      <c r="U2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3449.84</v>
      </c>
      <c r="V2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4.3176971214017525</v>
      </c>
    </row>
    <row r="24" spans="1:22">
      <c r="A24" t="s">
        <v>66</v>
      </c>
      <c r="B24" s="5">
        <v>46282</v>
      </c>
      <c r="C24" t="s">
        <v>48</v>
      </c>
      <c r="D24" t="s">
        <v>49</v>
      </c>
      <c r="E24" t="s">
        <v>33</v>
      </c>
      <c r="F24" t="s">
        <v>41</v>
      </c>
      <c r="G24">
        <v>1300</v>
      </c>
      <c r="H24">
        <v>1396</v>
      </c>
      <c r="I24">
        <v>38</v>
      </c>
      <c r="J24" s="6">
        <v>157.08000000000001</v>
      </c>
      <c r="K24" s="6">
        <v>119.3</v>
      </c>
      <c r="L24">
        <v>75</v>
      </c>
      <c r="M24" s="7">
        <v>5340.72</v>
      </c>
      <c r="N24" s="7">
        <v>300</v>
      </c>
      <c r="O24" s="7">
        <v>275</v>
      </c>
      <c r="P24" s="13" t="str">
        <f>IF(OR(tblClean[[#This Row],[Shift]]="",tblClean[[#This Row],[Actual_Units]]="",tblClean[[#This Row],[Raw_Material_Used_kg]]=""),"Review","OK")</f>
        <v>OK</v>
      </c>
      <c r="Q24" s="14">
        <f>IFERROR(tblClean[[#This Row],[Actual_Units]]/tblClean[[#This Row],[Planned_Units]],"")</f>
        <v>1.0738461538461539</v>
      </c>
      <c r="R24">
        <f>IF(OR(tblClean[[#This Row],[Actual_Units]]="",tblClean[[#This Row],[Planned_Units]]=""),"",tblClean[[#This Row],[Actual_Units]]-tblClean[[#This Row],[Planned_Units]])</f>
        <v>96</v>
      </c>
      <c r="S24" s="14">
        <f>IFERROR(tblClean[[#This Row],[Defective_Units]]/tblClean[[#This Row],[Actual_Units]],"")</f>
        <v>2.7220630372492838E-2</v>
      </c>
      <c r="T24" s="6">
        <f>IF(OR(tblClean[[#This Row],[Raw_Material_Used_kg]]="",tblClean[[#This Row],[Standard_Material_kg]]=""),"",tblClean[[#This Row],[Raw_Material_Used_kg]]-tblClean[[#This Row],[Standard_Material_kg]])</f>
        <v>37.780000000000015</v>
      </c>
      <c r="U2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5915.72</v>
      </c>
      <c r="V2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4.3562002945508098</v>
      </c>
    </row>
    <row r="25" spans="1:22">
      <c r="A25" t="s">
        <v>67</v>
      </c>
      <c r="B25" s="5">
        <v>46268</v>
      </c>
      <c r="C25" t="s">
        <v>31</v>
      </c>
      <c r="D25" t="s">
        <v>32</v>
      </c>
      <c r="E25" t="s">
        <v>33</v>
      </c>
      <c r="F25" t="s">
        <v>39</v>
      </c>
      <c r="G25">
        <v>1300</v>
      </c>
      <c r="H25">
        <v>1282</v>
      </c>
      <c r="I25">
        <v>63</v>
      </c>
      <c r="J25" s="6">
        <v>139.96</v>
      </c>
      <c r="K25" s="6">
        <v>120.48</v>
      </c>
      <c r="L25">
        <v>20</v>
      </c>
      <c r="M25" s="7">
        <v>4758.6400000000003</v>
      </c>
      <c r="N25" s="7">
        <v>500</v>
      </c>
      <c r="O25" s="7">
        <v>225</v>
      </c>
      <c r="P25" s="13" t="str">
        <f>IF(OR(tblClean[[#This Row],[Shift]]="",tblClean[[#This Row],[Actual_Units]]="",tblClean[[#This Row],[Raw_Material_Used_kg]]=""),"Review","OK")</f>
        <v>OK</v>
      </c>
      <c r="Q25" s="14">
        <f>IFERROR(tblClean[[#This Row],[Actual_Units]]/tblClean[[#This Row],[Planned_Units]],"")</f>
        <v>0.98615384615384616</v>
      </c>
      <c r="R25">
        <f>IF(OR(tblClean[[#This Row],[Actual_Units]]="",tblClean[[#This Row],[Planned_Units]]=""),"",tblClean[[#This Row],[Actual_Units]]-tblClean[[#This Row],[Planned_Units]])</f>
        <v>-18</v>
      </c>
      <c r="S25" s="14">
        <f>IFERROR(tblClean[[#This Row],[Defective_Units]]/tblClean[[#This Row],[Actual_Units]],"")</f>
        <v>4.9141965678627143E-2</v>
      </c>
      <c r="T25" s="6">
        <f>IF(OR(tblClean[[#This Row],[Raw_Material_Used_kg]]="",tblClean[[#This Row],[Standard_Material_kg]]=""),"",tblClean[[#This Row],[Raw_Material_Used_kg]]-tblClean[[#This Row],[Standard_Material_kg]])</f>
        <v>19.480000000000004</v>
      </c>
      <c r="U2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5483.64</v>
      </c>
      <c r="V2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4.4984741591468422</v>
      </c>
    </row>
    <row r="26" spans="1:22">
      <c r="A26" t="s">
        <v>68</v>
      </c>
      <c r="B26" s="5">
        <v>46279</v>
      </c>
      <c r="C26" t="s">
        <v>45</v>
      </c>
      <c r="D26" t="s">
        <v>46</v>
      </c>
      <c r="E26" t="s">
        <v>43</v>
      </c>
      <c r="F26" t="s">
        <v>41</v>
      </c>
      <c r="G26">
        <v>800</v>
      </c>
      <c r="H26">
        <v>638</v>
      </c>
      <c r="I26">
        <v>12</v>
      </c>
      <c r="J26" s="6">
        <v>70.91</v>
      </c>
      <c r="K26" s="6">
        <v>67.17</v>
      </c>
      <c r="L26">
        <v>0</v>
      </c>
      <c r="M26" s="7">
        <v>1985.48</v>
      </c>
      <c r="N26" s="7">
        <v>500</v>
      </c>
      <c r="O26" s="7">
        <v>225</v>
      </c>
      <c r="P26" s="13" t="str">
        <f>IF(OR(tblClean[[#This Row],[Shift]]="",tblClean[[#This Row],[Actual_Units]]="",tblClean[[#This Row],[Raw_Material_Used_kg]]=""),"Review","OK")</f>
        <v>OK</v>
      </c>
      <c r="Q26" s="14">
        <f>IFERROR(tblClean[[#This Row],[Actual_Units]]/tblClean[[#This Row],[Planned_Units]],"")</f>
        <v>0.79749999999999999</v>
      </c>
      <c r="R26">
        <f>IF(OR(tblClean[[#This Row],[Actual_Units]]="",tblClean[[#This Row],[Planned_Units]]=""),"",tblClean[[#This Row],[Actual_Units]]-tblClean[[#This Row],[Planned_Units]])</f>
        <v>-162</v>
      </c>
      <c r="S26" s="14">
        <f>IFERROR(tblClean[[#This Row],[Defective_Units]]/tblClean[[#This Row],[Actual_Units]],"")</f>
        <v>1.8808777429467086E-2</v>
      </c>
      <c r="T26" s="6">
        <f>IF(OR(tblClean[[#This Row],[Raw_Material_Used_kg]]="",tblClean[[#This Row],[Standard_Material_kg]]=""),"",tblClean[[#This Row],[Raw_Material_Used_kg]]-tblClean[[#This Row],[Standard_Material_kg]])</f>
        <v>3.7399999999999949</v>
      </c>
      <c r="U2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2710.48</v>
      </c>
      <c r="V2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4.329840255591054</v>
      </c>
    </row>
    <row r="27" spans="1:22">
      <c r="A27" t="s">
        <v>69</v>
      </c>
      <c r="B27" s="5">
        <v>46295</v>
      </c>
      <c r="C27" t="s">
        <v>45</v>
      </c>
      <c r="D27" t="s">
        <v>46</v>
      </c>
      <c r="E27" t="s">
        <v>33</v>
      </c>
      <c r="F27" t="s">
        <v>34</v>
      </c>
      <c r="G27">
        <v>1300</v>
      </c>
      <c r="H27">
        <v>1016</v>
      </c>
      <c r="I27">
        <v>27</v>
      </c>
      <c r="J27" s="6">
        <v>99.22</v>
      </c>
      <c r="K27" s="6">
        <v>106.6</v>
      </c>
      <c r="L27">
        <v>20</v>
      </c>
      <c r="M27" s="7">
        <v>3671.14</v>
      </c>
      <c r="N27" s="7">
        <v>450</v>
      </c>
      <c r="O27" s="7">
        <v>200</v>
      </c>
      <c r="P27" s="13" t="str">
        <f>IF(OR(tblClean[[#This Row],[Shift]]="",tblClean[[#This Row],[Actual_Units]]="",tblClean[[#This Row],[Raw_Material_Used_kg]]=""),"Review","OK")</f>
        <v>OK</v>
      </c>
      <c r="Q27" s="14">
        <f>IFERROR(tblClean[[#This Row],[Actual_Units]]/tblClean[[#This Row],[Planned_Units]],"")</f>
        <v>0.78153846153846152</v>
      </c>
      <c r="R27">
        <f>IF(OR(tblClean[[#This Row],[Actual_Units]]="",tblClean[[#This Row],[Planned_Units]]=""),"",tblClean[[#This Row],[Actual_Units]]-tblClean[[#This Row],[Planned_Units]])</f>
        <v>-284</v>
      </c>
      <c r="S27" s="14">
        <f>IFERROR(tblClean[[#This Row],[Defective_Units]]/tblClean[[#This Row],[Actual_Units]],"")</f>
        <v>2.6574803149606301E-2</v>
      </c>
      <c r="T27" s="6">
        <f>IF(OR(tblClean[[#This Row],[Raw_Material_Used_kg]]="",tblClean[[#This Row],[Standard_Material_kg]]=""),"",tblClean[[#This Row],[Raw_Material_Used_kg]]-tblClean[[#This Row],[Standard_Material_kg]])</f>
        <v>-7.3799999999999955</v>
      </c>
      <c r="U2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4321.1399999999994</v>
      </c>
      <c r="V2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4.3692012133468143</v>
      </c>
    </row>
    <row r="28" spans="1:22">
      <c r="A28" t="s">
        <v>70</v>
      </c>
      <c r="B28" s="5">
        <v>46284</v>
      </c>
      <c r="C28" t="s">
        <v>48</v>
      </c>
      <c r="D28" t="s">
        <v>49</v>
      </c>
      <c r="E28" t="s">
        <v>43</v>
      </c>
      <c r="F28" t="s">
        <v>34</v>
      </c>
      <c r="G28">
        <v>1200</v>
      </c>
      <c r="H28">
        <v>1098</v>
      </c>
      <c r="I28">
        <v>23</v>
      </c>
      <c r="J28" s="6">
        <v>127.71</v>
      </c>
      <c r="K28" s="6">
        <v>103.4</v>
      </c>
      <c r="L28">
        <v>15</v>
      </c>
      <c r="M28" s="7">
        <v>4342.1400000000003</v>
      </c>
      <c r="N28" s="7">
        <v>500</v>
      </c>
      <c r="O28" s="7">
        <v>180</v>
      </c>
      <c r="P28" s="13" t="str">
        <f>IF(OR(tblClean[[#This Row],[Shift]]="",tblClean[[#This Row],[Actual_Units]]="",tblClean[[#This Row],[Raw_Material_Used_kg]]=""),"Review","OK")</f>
        <v>OK</v>
      </c>
      <c r="Q28" s="14">
        <f>IFERROR(tblClean[[#This Row],[Actual_Units]]/tblClean[[#This Row],[Planned_Units]],"")</f>
        <v>0.91500000000000004</v>
      </c>
      <c r="R28">
        <f>IF(OR(tblClean[[#This Row],[Actual_Units]]="",tblClean[[#This Row],[Planned_Units]]=""),"",tblClean[[#This Row],[Actual_Units]]-tblClean[[#This Row],[Planned_Units]])</f>
        <v>-102</v>
      </c>
      <c r="S28" s="14">
        <f>IFERROR(tblClean[[#This Row],[Defective_Units]]/tblClean[[#This Row],[Actual_Units]],"")</f>
        <v>2.0947176684881604E-2</v>
      </c>
      <c r="T28" s="6">
        <f>IF(OR(tblClean[[#This Row],[Raw_Material_Used_kg]]="",tblClean[[#This Row],[Standard_Material_kg]]=""),"",tblClean[[#This Row],[Raw_Material_Used_kg]]-tblClean[[#This Row],[Standard_Material_kg]])</f>
        <v>24.309999999999988</v>
      </c>
      <c r="U2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5022.1400000000003</v>
      </c>
      <c r="V2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4.6717581395348837</v>
      </c>
    </row>
    <row r="29" spans="1:22">
      <c r="A29" t="s">
        <v>71</v>
      </c>
      <c r="B29" s="5">
        <v>46272</v>
      </c>
      <c r="C29" t="s">
        <v>45</v>
      </c>
      <c r="D29" t="s">
        <v>46</v>
      </c>
      <c r="E29" t="s">
        <v>43</v>
      </c>
      <c r="F29" t="s">
        <v>39</v>
      </c>
      <c r="G29">
        <v>800</v>
      </c>
      <c r="H29">
        <v>587</v>
      </c>
      <c r="I29">
        <v>19</v>
      </c>
      <c r="J29" s="6">
        <v>70.27</v>
      </c>
      <c r="K29" s="6">
        <v>84.87</v>
      </c>
      <c r="L29">
        <v>45</v>
      </c>
      <c r="M29" s="7">
        <v>2178.37</v>
      </c>
      <c r="N29" s="7">
        <v>500</v>
      </c>
      <c r="O29" s="7">
        <v>275</v>
      </c>
      <c r="P29" s="13" t="str">
        <f>IF(OR(tblClean[[#This Row],[Shift]]="",tblClean[[#This Row],[Actual_Units]]="",tblClean[[#This Row],[Raw_Material_Used_kg]]=""),"Review","OK")</f>
        <v>OK</v>
      </c>
      <c r="Q29" s="14">
        <f>IFERROR(tblClean[[#This Row],[Actual_Units]]/tblClean[[#This Row],[Planned_Units]],"")</f>
        <v>0.73375000000000001</v>
      </c>
      <c r="R29">
        <f>IF(OR(tblClean[[#This Row],[Actual_Units]]="",tblClean[[#This Row],[Planned_Units]]=""),"",tblClean[[#This Row],[Actual_Units]]-tblClean[[#This Row],[Planned_Units]])</f>
        <v>-213</v>
      </c>
      <c r="S29" s="14">
        <f>IFERROR(tblClean[[#This Row],[Defective_Units]]/tblClean[[#This Row],[Actual_Units]],"")</f>
        <v>3.2367972742759793E-2</v>
      </c>
      <c r="T29" s="6">
        <f>IF(OR(tblClean[[#This Row],[Raw_Material_Used_kg]]="",tblClean[[#This Row],[Standard_Material_kg]]=""),"",tblClean[[#This Row],[Raw_Material_Used_kg]]-tblClean[[#This Row],[Standard_Material_kg]])</f>
        <v>-14.600000000000009</v>
      </c>
      <c r="U2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2953.37</v>
      </c>
      <c r="V2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5.1995950704225349</v>
      </c>
    </row>
    <row r="30" spans="1:22">
      <c r="A30" t="s">
        <v>72</v>
      </c>
      <c r="B30" s="5">
        <v>46272</v>
      </c>
      <c r="C30" t="s">
        <v>31</v>
      </c>
      <c r="D30" t="s">
        <v>32</v>
      </c>
      <c r="E30" t="s">
        <v>38</v>
      </c>
      <c r="F30" t="s">
        <v>39</v>
      </c>
      <c r="G30">
        <v>1300</v>
      </c>
      <c r="H30">
        <v>989</v>
      </c>
      <c r="I30">
        <v>40</v>
      </c>
      <c r="J30" s="6">
        <v>94.98</v>
      </c>
      <c r="K30" s="6">
        <v>120.93</v>
      </c>
      <c r="L30">
        <v>60</v>
      </c>
      <c r="M30" s="7">
        <v>2944.38</v>
      </c>
      <c r="N30" s="7">
        <v>500</v>
      </c>
      <c r="O30" s="7">
        <v>250</v>
      </c>
      <c r="P30" s="13" t="str">
        <f>IF(OR(tblClean[[#This Row],[Shift]]="",tblClean[[#This Row],[Actual_Units]]="",tblClean[[#This Row],[Raw_Material_Used_kg]]=""),"Review","OK")</f>
        <v>OK</v>
      </c>
      <c r="Q30" s="14">
        <f>IFERROR(tblClean[[#This Row],[Actual_Units]]/tblClean[[#This Row],[Planned_Units]],"")</f>
        <v>0.76076923076923075</v>
      </c>
      <c r="R30">
        <f>IF(OR(tblClean[[#This Row],[Actual_Units]]="",tblClean[[#This Row],[Planned_Units]]=""),"",tblClean[[#This Row],[Actual_Units]]-tblClean[[#This Row],[Planned_Units]])</f>
        <v>-311</v>
      </c>
      <c r="S30" s="14">
        <f>IFERROR(tblClean[[#This Row],[Defective_Units]]/tblClean[[#This Row],[Actual_Units]],"")</f>
        <v>4.0444893832153689E-2</v>
      </c>
      <c r="T30" s="6">
        <f>IF(OR(tblClean[[#This Row],[Raw_Material_Used_kg]]="",tblClean[[#This Row],[Standard_Material_kg]]=""),"",tblClean[[#This Row],[Raw_Material_Used_kg]]-tblClean[[#This Row],[Standard_Material_kg]])</f>
        <v>-25.950000000000003</v>
      </c>
      <c r="U3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3694.38</v>
      </c>
      <c r="V3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3.892918861959958</v>
      </c>
    </row>
    <row r="31" spans="1:22">
      <c r="A31" t="s">
        <v>73</v>
      </c>
      <c r="B31" s="5">
        <v>46274</v>
      </c>
      <c r="C31" t="s">
        <v>45</v>
      </c>
      <c r="D31" t="s">
        <v>49</v>
      </c>
      <c r="E31" t="s">
        <v>33</v>
      </c>
      <c r="F31" t="s">
        <v>39</v>
      </c>
      <c r="G31">
        <v>900</v>
      </c>
      <c r="H31">
        <v>817</v>
      </c>
      <c r="I31">
        <v>40</v>
      </c>
      <c r="J31" s="6">
        <v>83.02</v>
      </c>
      <c r="K31" s="6">
        <v>80.16</v>
      </c>
      <c r="L31">
        <v>20</v>
      </c>
      <c r="M31" s="7">
        <v>2324.56</v>
      </c>
      <c r="N31" s="7">
        <v>300</v>
      </c>
      <c r="O31" s="7">
        <v>275</v>
      </c>
      <c r="P31" s="13" t="str">
        <f>IF(OR(tblClean[[#This Row],[Shift]]="",tblClean[[#This Row],[Actual_Units]]="",tblClean[[#This Row],[Raw_Material_Used_kg]]=""),"Review","OK")</f>
        <v>OK</v>
      </c>
      <c r="Q31" s="14">
        <f>IFERROR(tblClean[[#This Row],[Actual_Units]]/tblClean[[#This Row],[Planned_Units]],"")</f>
        <v>0.90777777777777779</v>
      </c>
      <c r="R31">
        <f>IF(OR(tblClean[[#This Row],[Actual_Units]]="",tblClean[[#This Row],[Planned_Units]]=""),"",tblClean[[#This Row],[Actual_Units]]-tblClean[[#This Row],[Planned_Units]])</f>
        <v>-83</v>
      </c>
      <c r="S31" s="14">
        <f>IFERROR(tblClean[[#This Row],[Defective_Units]]/tblClean[[#This Row],[Actual_Units]],"")</f>
        <v>4.8959608323133418E-2</v>
      </c>
      <c r="T31" s="6">
        <f>IF(OR(tblClean[[#This Row],[Raw_Material_Used_kg]]="",tblClean[[#This Row],[Standard_Material_kg]]=""),"",tblClean[[#This Row],[Raw_Material_Used_kg]]-tblClean[[#This Row],[Standard_Material_kg]])</f>
        <v>2.8599999999999994</v>
      </c>
      <c r="U3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2899.56</v>
      </c>
      <c r="V3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3.7317374517374517</v>
      </c>
    </row>
    <row r="32" spans="1:22">
      <c r="A32" t="s">
        <v>75</v>
      </c>
      <c r="B32" s="5">
        <v>46281</v>
      </c>
      <c r="C32" t="s">
        <v>45</v>
      </c>
      <c r="D32" t="s">
        <v>46</v>
      </c>
      <c r="E32" t="s">
        <v>38</v>
      </c>
      <c r="F32" t="s">
        <v>34</v>
      </c>
      <c r="G32">
        <v>1000</v>
      </c>
      <c r="H32">
        <v>745</v>
      </c>
      <c r="I32">
        <v>35</v>
      </c>
      <c r="J32" s="6">
        <v>64.52</v>
      </c>
      <c r="K32" s="6">
        <v>106.59</v>
      </c>
      <c r="L32">
        <v>10</v>
      </c>
      <c r="M32" s="7">
        <v>2387.2399999999998</v>
      </c>
      <c r="N32" s="7">
        <v>300</v>
      </c>
      <c r="O32" s="7">
        <v>275</v>
      </c>
      <c r="P32" s="13" t="str">
        <f>IF(OR(tblClean[[#This Row],[Shift]]="",tblClean[[#This Row],[Actual_Units]]="",tblClean[[#This Row],[Raw_Material_Used_kg]]=""),"Review","OK")</f>
        <v>OK</v>
      </c>
      <c r="Q32" s="14">
        <f>IFERROR(tblClean[[#This Row],[Actual_Units]]/tblClean[[#This Row],[Planned_Units]],"")</f>
        <v>0.745</v>
      </c>
      <c r="R32">
        <f>IF(OR(tblClean[[#This Row],[Actual_Units]]="",tblClean[[#This Row],[Planned_Units]]=""),"",tblClean[[#This Row],[Actual_Units]]-tblClean[[#This Row],[Planned_Units]])</f>
        <v>-255</v>
      </c>
      <c r="S32" s="14">
        <f>IFERROR(tblClean[[#This Row],[Defective_Units]]/tblClean[[#This Row],[Actual_Units]],"")</f>
        <v>4.6979865771812082E-2</v>
      </c>
      <c r="T32" s="6">
        <f>IF(OR(tblClean[[#This Row],[Raw_Material_Used_kg]]="",tblClean[[#This Row],[Standard_Material_kg]]=""),"",tblClean[[#This Row],[Raw_Material_Used_kg]]-tblClean[[#This Row],[Standard_Material_kg]])</f>
        <v>-42.070000000000007</v>
      </c>
      <c r="U3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2962.24</v>
      </c>
      <c r="V3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4.1721690140845071</v>
      </c>
    </row>
    <row r="33" spans="1:22">
      <c r="A33" t="s">
        <v>76</v>
      </c>
      <c r="B33" s="5">
        <v>46279</v>
      </c>
      <c r="C33" t="s">
        <v>36</v>
      </c>
      <c r="D33" t="s">
        <v>37</v>
      </c>
      <c r="E33" t="s">
        <v>33</v>
      </c>
      <c r="F33" t="s">
        <v>39</v>
      </c>
      <c r="G33">
        <v>1200</v>
      </c>
      <c r="H33">
        <v>1040</v>
      </c>
      <c r="I33">
        <v>29</v>
      </c>
      <c r="J33" s="6">
        <v>128.93</v>
      </c>
      <c r="K33" s="6">
        <v>98.11</v>
      </c>
      <c r="L33">
        <v>15</v>
      </c>
      <c r="M33" s="7">
        <v>3996.83</v>
      </c>
      <c r="N33" s="7">
        <v>250</v>
      </c>
      <c r="O33" s="7">
        <v>180</v>
      </c>
      <c r="P33" s="13" t="str">
        <f>IF(OR(tblClean[[#This Row],[Shift]]="",tblClean[[#This Row],[Actual_Units]]="",tblClean[[#This Row],[Raw_Material_Used_kg]]=""),"Review","OK")</f>
        <v>OK</v>
      </c>
      <c r="Q33" s="14">
        <f>IFERROR(tblClean[[#This Row],[Actual_Units]]/tblClean[[#This Row],[Planned_Units]],"")</f>
        <v>0.8666666666666667</v>
      </c>
      <c r="R33">
        <f>IF(OR(tblClean[[#This Row],[Actual_Units]]="",tblClean[[#This Row],[Planned_Units]]=""),"",tblClean[[#This Row],[Actual_Units]]-tblClean[[#This Row],[Planned_Units]])</f>
        <v>-160</v>
      </c>
      <c r="S33" s="14">
        <f>IFERROR(tblClean[[#This Row],[Defective_Units]]/tblClean[[#This Row],[Actual_Units]],"")</f>
        <v>2.7884615384615386E-2</v>
      </c>
      <c r="T33" s="6">
        <f>IF(OR(tblClean[[#This Row],[Raw_Material_Used_kg]]="",tblClean[[#This Row],[Standard_Material_kg]]=""),"",tblClean[[#This Row],[Raw_Material_Used_kg]]-tblClean[[#This Row],[Standard_Material_kg]])</f>
        <v>30.820000000000007</v>
      </c>
      <c r="U3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4426.83</v>
      </c>
      <c r="V3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4.3786646884272997</v>
      </c>
    </row>
    <row r="34" spans="1:22">
      <c r="A34" t="s">
        <v>77</v>
      </c>
      <c r="B34" s="5">
        <v>46288</v>
      </c>
      <c r="C34" t="s">
        <v>36</v>
      </c>
      <c r="D34" t="s">
        <v>37</v>
      </c>
      <c r="E34" t="s">
        <v>43</v>
      </c>
      <c r="F34" t="s">
        <v>39</v>
      </c>
      <c r="G34">
        <v>800</v>
      </c>
      <c r="H34">
        <v>819</v>
      </c>
      <c r="I34">
        <v>36</v>
      </c>
      <c r="J34" s="6">
        <v>66.760000000000005</v>
      </c>
      <c r="K34" s="6">
        <v>71.06</v>
      </c>
      <c r="L34">
        <v>20</v>
      </c>
      <c r="M34" s="7">
        <v>2069.56</v>
      </c>
      <c r="N34" s="7">
        <v>300</v>
      </c>
      <c r="O34" s="7">
        <v>250</v>
      </c>
      <c r="P34" s="13" t="str">
        <f>IF(OR(tblClean[[#This Row],[Shift]]="",tblClean[[#This Row],[Actual_Units]]="",tblClean[[#This Row],[Raw_Material_Used_kg]]=""),"Review","OK")</f>
        <v>OK</v>
      </c>
      <c r="Q34" s="14">
        <f>IFERROR(tblClean[[#This Row],[Actual_Units]]/tblClean[[#This Row],[Planned_Units]],"")</f>
        <v>1.0237499999999999</v>
      </c>
      <c r="R34">
        <f>IF(OR(tblClean[[#This Row],[Actual_Units]]="",tblClean[[#This Row],[Planned_Units]]=""),"",tblClean[[#This Row],[Actual_Units]]-tblClean[[#This Row],[Planned_Units]])</f>
        <v>19</v>
      </c>
      <c r="S34" s="14">
        <f>IFERROR(tblClean[[#This Row],[Defective_Units]]/tblClean[[#This Row],[Actual_Units]],"")</f>
        <v>4.3956043956043959E-2</v>
      </c>
      <c r="T34" s="6">
        <f>IF(OR(tblClean[[#This Row],[Raw_Material_Used_kg]]="",tblClean[[#This Row],[Standard_Material_kg]]=""),"",tblClean[[#This Row],[Raw_Material_Used_kg]]-tblClean[[#This Row],[Standard_Material_kg]])</f>
        <v>-4.2999999999999972</v>
      </c>
      <c r="U3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2619.56</v>
      </c>
      <c r="V3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3.3455427841634737</v>
      </c>
    </row>
    <row r="35" spans="1:22">
      <c r="A35" t="s">
        <v>78</v>
      </c>
      <c r="B35" s="5">
        <v>46268</v>
      </c>
      <c r="C35" t="s">
        <v>36</v>
      </c>
      <c r="D35" t="s">
        <v>37</v>
      </c>
      <c r="E35" t="s">
        <v>43</v>
      </c>
      <c r="F35" t="s">
        <v>34</v>
      </c>
      <c r="G35">
        <v>800</v>
      </c>
      <c r="H35">
        <v>746</v>
      </c>
      <c r="I35">
        <v>35</v>
      </c>
      <c r="J35" s="6">
        <v>89.09</v>
      </c>
      <c r="K35" s="6">
        <v>68.59</v>
      </c>
      <c r="L35">
        <v>75</v>
      </c>
      <c r="M35" s="7">
        <v>3563.6</v>
      </c>
      <c r="N35" s="7">
        <v>400</v>
      </c>
      <c r="O35" s="7">
        <v>275</v>
      </c>
      <c r="P35" s="13" t="str">
        <f>IF(OR(tblClean[[#This Row],[Shift]]="",tblClean[[#This Row],[Actual_Units]]="",tblClean[[#This Row],[Raw_Material_Used_kg]]=""),"Review","OK")</f>
        <v>OK</v>
      </c>
      <c r="Q35" s="14">
        <f>IFERROR(tblClean[[#This Row],[Actual_Units]]/tblClean[[#This Row],[Planned_Units]],"")</f>
        <v>0.9325</v>
      </c>
      <c r="R35">
        <f>IF(OR(tblClean[[#This Row],[Actual_Units]]="",tblClean[[#This Row],[Planned_Units]]=""),"",tblClean[[#This Row],[Actual_Units]]-tblClean[[#This Row],[Planned_Units]])</f>
        <v>-54</v>
      </c>
      <c r="S35" s="14">
        <f>IFERROR(tblClean[[#This Row],[Defective_Units]]/tblClean[[#This Row],[Actual_Units]],"")</f>
        <v>4.6916890080428951E-2</v>
      </c>
      <c r="T35" s="6">
        <f>IF(OR(tblClean[[#This Row],[Raw_Material_Used_kg]]="",tblClean[[#This Row],[Standard_Material_kg]]=""),"",tblClean[[#This Row],[Raw_Material_Used_kg]]-tblClean[[#This Row],[Standard_Material_kg]])</f>
        <v>20.5</v>
      </c>
      <c r="U3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4238.6000000000004</v>
      </c>
      <c r="V3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5.9614627285513366</v>
      </c>
    </row>
    <row r="36" spans="1:22">
      <c r="A36" t="s">
        <v>79</v>
      </c>
      <c r="B36" s="5">
        <v>46282</v>
      </c>
      <c r="C36" t="s">
        <v>48</v>
      </c>
      <c r="D36" t="s">
        <v>49</v>
      </c>
      <c r="E36" t="s">
        <v>33</v>
      </c>
      <c r="F36" t="s">
        <v>39</v>
      </c>
      <c r="G36">
        <v>1000</v>
      </c>
      <c r="H36">
        <v>866</v>
      </c>
      <c r="I36">
        <v>24</v>
      </c>
      <c r="J36" s="6">
        <v>79.52</v>
      </c>
      <c r="K36" s="6">
        <v>105.92</v>
      </c>
      <c r="L36">
        <v>15</v>
      </c>
      <c r="M36" s="7">
        <v>2226.56</v>
      </c>
      <c r="N36" s="7">
        <v>400</v>
      </c>
      <c r="O36" s="7">
        <v>275</v>
      </c>
      <c r="P36" s="13" t="str">
        <f>IF(OR(tblClean[[#This Row],[Shift]]="",tblClean[[#This Row],[Actual_Units]]="",tblClean[[#This Row],[Raw_Material_Used_kg]]=""),"Review","OK")</f>
        <v>OK</v>
      </c>
      <c r="Q36" s="14">
        <f>IFERROR(tblClean[[#This Row],[Actual_Units]]/tblClean[[#This Row],[Planned_Units]],"")</f>
        <v>0.86599999999999999</v>
      </c>
      <c r="R36">
        <f>IF(OR(tblClean[[#This Row],[Actual_Units]]="",tblClean[[#This Row],[Planned_Units]]=""),"",tblClean[[#This Row],[Actual_Units]]-tblClean[[#This Row],[Planned_Units]])</f>
        <v>-134</v>
      </c>
      <c r="S36" s="14">
        <f>IFERROR(tblClean[[#This Row],[Defective_Units]]/tblClean[[#This Row],[Actual_Units]],"")</f>
        <v>2.771362586605081E-2</v>
      </c>
      <c r="T36" s="6">
        <f>IF(OR(tblClean[[#This Row],[Raw_Material_Used_kg]]="",tblClean[[#This Row],[Standard_Material_kg]]=""),"",tblClean[[#This Row],[Raw_Material_Used_kg]]-tblClean[[#This Row],[Standard_Material_kg]])</f>
        <v>-26.400000000000006</v>
      </c>
      <c r="U3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2901.56</v>
      </c>
      <c r="V3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3.4460332541567693</v>
      </c>
    </row>
    <row r="37" spans="1:22">
      <c r="A37" t="s">
        <v>80</v>
      </c>
      <c r="B37" s="5">
        <v>46284</v>
      </c>
      <c r="C37" t="s">
        <v>36</v>
      </c>
      <c r="D37" t="s">
        <v>37</v>
      </c>
      <c r="E37" t="s">
        <v>38</v>
      </c>
      <c r="F37" t="s">
        <v>41</v>
      </c>
      <c r="G37">
        <v>1000</v>
      </c>
      <c r="H37">
        <v>759</v>
      </c>
      <c r="I37">
        <v>14</v>
      </c>
      <c r="J37" s="6">
        <v>79.02</v>
      </c>
      <c r="K37" s="6">
        <v>94.31</v>
      </c>
      <c r="L37">
        <v>45</v>
      </c>
      <c r="M37" s="7">
        <v>2449.62</v>
      </c>
      <c r="N37" s="7">
        <v>400</v>
      </c>
      <c r="O37" s="7">
        <v>300</v>
      </c>
      <c r="P37" s="13" t="str">
        <f>IF(OR(tblClean[[#This Row],[Shift]]="",tblClean[[#This Row],[Actual_Units]]="",tblClean[[#This Row],[Raw_Material_Used_kg]]=""),"Review","OK")</f>
        <v>OK</v>
      </c>
      <c r="Q37" s="14">
        <f>IFERROR(tblClean[[#This Row],[Actual_Units]]/tblClean[[#This Row],[Planned_Units]],"")</f>
        <v>0.75900000000000001</v>
      </c>
      <c r="R37">
        <f>IF(OR(tblClean[[#This Row],[Actual_Units]]="",tblClean[[#This Row],[Planned_Units]]=""),"",tblClean[[#This Row],[Actual_Units]]-tblClean[[#This Row],[Planned_Units]])</f>
        <v>-241</v>
      </c>
      <c r="S37" s="14">
        <f>IFERROR(tblClean[[#This Row],[Defective_Units]]/tblClean[[#This Row],[Actual_Units]],"")</f>
        <v>1.844532279314888E-2</v>
      </c>
      <c r="T37" s="6">
        <f>IF(OR(tblClean[[#This Row],[Raw_Material_Used_kg]]="",tblClean[[#This Row],[Standard_Material_kg]]=""),"",tblClean[[#This Row],[Raw_Material_Used_kg]]-tblClean[[#This Row],[Standard_Material_kg]])</f>
        <v>-15.290000000000006</v>
      </c>
      <c r="U3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3149.62</v>
      </c>
      <c r="V3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4.2276778523489931</v>
      </c>
    </row>
    <row r="38" spans="1:22">
      <c r="A38" t="s">
        <v>81</v>
      </c>
      <c r="B38" s="5">
        <v>46288</v>
      </c>
      <c r="C38" t="s">
        <v>36</v>
      </c>
      <c r="D38" t="s">
        <v>37</v>
      </c>
      <c r="E38" t="s">
        <v>33</v>
      </c>
      <c r="F38" t="s">
        <v>39</v>
      </c>
      <c r="G38">
        <v>1000</v>
      </c>
      <c r="H38">
        <v>760</v>
      </c>
      <c r="I38">
        <v>13</v>
      </c>
      <c r="J38" s="6">
        <v>90.88</v>
      </c>
      <c r="K38" s="6">
        <v>100.22</v>
      </c>
      <c r="L38">
        <v>75</v>
      </c>
      <c r="M38" s="7">
        <v>2817.28</v>
      </c>
      <c r="N38" s="7">
        <v>500</v>
      </c>
      <c r="O38" s="7">
        <v>200</v>
      </c>
      <c r="P38" s="13" t="str">
        <f>IF(OR(tblClean[[#This Row],[Shift]]="",tblClean[[#This Row],[Actual_Units]]="",tblClean[[#This Row],[Raw_Material_Used_kg]]=""),"Review","OK")</f>
        <v>OK</v>
      </c>
      <c r="Q38" s="14">
        <f>IFERROR(tblClean[[#This Row],[Actual_Units]]/tblClean[[#This Row],[Planned_Units]],"")</f>
        <v>0.76</v>
      </c>
      <c r="R38">
        <f>IF(OR(tblClean[[#This Row],[Actual_Units]]="",tblClean[[#This Row],[Planned_Units]]=""),"",tblClean[[#This Row],[Actual_Units]]-tblClean[[#This Row],[Planned_Units]])</f>
        <v>-240</v>
      </c>
      <c r="S38" s="14">
        <f>IFERROR(tblClean[[#This Row],[Defective_Units]]/tblClean[[#This Row],[Actual_Units]],"")</f>
        <v>1.7105263157894738E-2</v>
      </c>
      <c r="T38" s="6">
        <f>IF(OR(tblClean[[#This Row],[Raw_Material_Used_kg]]="",tblClean[[#This Row],[Standard_Material_kg]]=""),"",tblClean[[#This Row],[Raw_Material_Used_kg]]-tblClean[[#This Row],[Standard_Material_kg]])</f>
        <v>-9.3400000000000034</v>
      </c>
      <c r="U3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3517.28</v>
      </c>
      <c r="V3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4.7085408299866138</v>
      </c>
    </row>
    <row r="39" spans="1:22">
      <c r="A39" t="s">
        <v>82</v>
      </c>
      <c r="B39" s="5">
        <v>46286</v>
      </c>
      <c r="C39" t="s">
        <v>31</v>
      </c>
      <c r="D39" t="s">
        <v>32</v>
      </c>
      <c r="E39" t="s">
        <v>43</v>
      </c>
      <c r="F39" t="s">
        <v>39</v>
      </c>
      <c r="G39">
        <v>900</v>
      </c>
      <c r="H39">
        <v>958</v>
      </c>
      <c r="I39">
        <v>19</v>
      </c>
      <c r="J39" s="6">
        <v>82.41</v>
      </c>
      <c r="K39" s="6">
        <v>75.33</v>
      </c>
      <c r="L39">
        <v>0</v>
      </c>
      <c r="M39" s="7">
        <v>2554.71</v>
      </c>
      <c r="N39" s="7">
        <v>250</v>
      </c>
      <c r="O39" s="7">
        <v>180</v>
      </c>
      <c r="P39" s="13" t="str">
        <f>IF(OR(tblClean[[#This Row],[Shift]]="",tblClean[[#This Row],[Actual_Units]]="",tblClean[[#This Row],[Raw_Material_Used_kg]]=""),"Review","OK")</f>
        <v>OK</v>
      </c>
      <c r="Q39" s="14">
        <f>IFERROR(tblClean[[#This Row],[Actual_Units]]/tblClean[[#This Row],[Planned_Units]],"")</f>
        <v>1.0644444444444445</v>
      </c>
      <c r="R39">
        <f>IF(OR(tblClean[[#This Row],[Actual_Units]]="",tblClean[[#This Row],[Planned_Units]]=""),"",tblClean[[#This Row],[Actual_Units]]-tblClean[[#This Row],[Planned_Units]])</f>
        <v>58</v>
      </c>
      <c r="S39" s="14">
        <f>IFERROR(tblClean[[#This Row],[Defective_Units]]/tblClean[[#This Row],[Actual_Units]],"")</f>
        <v>1.9832985386221295E-2</v>
      </c>
      <c r="T39" s="6">
        <f>IF(OR(tblClean[[#This Row],[Raw_Material_Used_kg]]="",tblClean[[#This Row],[Standard_Material_kg]]=""),"",tblClean[[#This Row],[Raw_Material_Used_kg]]-tblClean[[#This Row],[Standard_Material_kg]])</f>
        <v>7.0799999999999983</v>
      </c>
      <c r="U3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2984.71</v>
      </c>
      <c r="V3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3.1786048988285409</v>
      </c>
    </row>
    <row r="40" spans="1:22">
      <c r="A40" t="s">
        <v>83</v>
      </c>
      <c r="B40" s="5">
        <v>46267</v>
      </c>
      <c r="C40" t="s">
        <v>45</v>
      </c>
      <c r="D40" t="s">
        <v>46</v>
      </c>
      <c r="E40" t="s">
        <v>33</v>
      </c>
      <c r="F40" t="s">
        <v>34</v>
      </c>
      <c r="G40">
        <v>1100</v>
      </c>
      <c r="H40">
        <v>886</v>
      </c>
      <c r="I40">
        <v>40</v>
      </c>
      <c r="J40" s="6">
        <v>76.84</v>
      </c>
      <c r="K40" s="6">
        <v>89.48</v>
      </c>
      <c r="L40">
        <v>0</v>
      </c>
      <c r="M40" s="7">
        <v>2612.56</v>
      </c>
      <c r="N40" s="7">
        <v>300</v>
      </c>
      <c r="O40" s="7">
        <v>200</v>
      </c>
      <c r="P40" s="13" t="str">
        <f>IF(OR(tblClean[[#This Row],[Shift]]="",tblClean[[#This Row],[Actual_Units]]="",tblClean[[#This Row],[Raw_Material_Used_kg]]=""),"Review","OK")</f>
        <v>OK</v>
      </c>
      <c r="Q40" s="14">
        <f>IFERROR(tblClean[[#This Row],[Actual_Units]]/tblClean[[#This Row],[Planned_Units]],"")</f>
        <v>0.80545454545454542</v>
      </c>
      <c r="R40">
        <f>IF(OR(tblClean[[#This Row],[Actual_Units]]="",tblClean[[#This Row],[Planned_Units]]=""),"",tblClean[[#This Row],[Actual_Units]]-tblClean[[#This Row],[Planned_Units]])</f>
        <v>-214</v>
      </c>
      <c r="S40" s="14">
        <f>IFERROR(tblClean[[#This Row],[Defective_Units]]/tblClean[[#This Row],[Actual_Units]],"")</f>
        <v>4.5146726862302484E-2</v>
      </c>
      <c r="T40" s="6">
        <f>IF(OR(tblClean[[#This Row],[Raw_Material_Used_kg]]="",tblClean[[#This Row],[Standard_Material_kg]]=""),"",tblClean[[#This Row],[Raw_Material_Used_kg]]-tblClean[[#This Row],[Standard_Material_kg]])</f>
        <v>-12.64</v>
      </c>
      <c r="U4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3112.56</v>
      </c>
      <c r="V4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3.6791489361702125</v>
      </c>
    </row>
    <row r="41" spans="1:22">
      <c r="A41" t="s">
        <v>84</v>
      </c>
      <c r="B41" s="5">
        <v>46268</v>
      </c>
      <c r="C41" t="s">
        <v>48</v>
      </c>
      <c r="D41" t="s">
        <v>49</v>
      </c>
      <c r="E41" t="s">
        <v>33</v>
      </c>
      <c r="F41" t="s">
        <v>39</v>
      </c>
      <c r="G41">
        <v>800</v>
      </c>
      <c r="H41">
        <v>746</v>
      </c>
      <c r="I41">
        <v>18</v>
      </c>
      <c r="J41" s="6">
        <v>71.03</v>
      </c>
      <c r="K41" s="6">
        <v>66.33</v>
      </c>
      <c r="L41">
        <v>30</v>
      </c>
      <c r="M41" s="7">
        <v>2628.11</v>
      </c>
      <c r="N41" s="7">
        <v>300</v>
      </c>
      <c r="O41" s="7">
        <v>180</v>
      </c>
      <c r="P41" s="13" t="str">
        <f>IF(OR(tblClean[[#This Row],[Shift]]="",tblClean[[#This Row],[Actual_Units]]="",tblClean[[#This Row],[Raw_Material_Used_kg]]=""),"Review","OK")</f>
        <v>OK</v>
      </c>
      <c r="Q41" s="14">
        <f>IFERROR(tblClean[[#This Row],[Actual_Units]]/tblClean[[#This Row],[Planned_Units]],"")</f>
        <v>0.9325</v>
      </c>
      <c r="R41">
        <f>IF(OR(tblClean[[#This Row],[Actual_Units]]="",tblClean[[#This Row],[Planned_Units]]=""),"",tblClean[[#This Row],[Actual_Units]]-tblClean[[#This Row],[Planned_Units]])</f>
        <v>-54</v>
      </c>
      <c r="S41" s="14">
        <f>IFERROR(tblClean[[#This Row],[Defective_Units]]/tblClean[[#This Row],[Actual_Units]],"")</f>
        <v>2.4128686327077747E-2</v>
      </c>
      <c r="T41" s="6">
        <f>IF(OR(tblClean[[#This Row],[Raw_Material_Used_kg]]="",tblClean[[#This Row],[Standard_Material_kg]]=""),"",tblClean[[#This Row],[Raw_Material_Used_kg]]-tblClean[[#This Row],[Standard_Material_kg]])</f>
        <v>4.7000000000000028</v>
      </c>
      <c r="U4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3108.11</v>
      </c>
      <c r="V4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4.2693818681318687</v>
      </c>
    </row>
    <row r="42" spans="1:22">
      <c r="A42" t="s">
        <v>85</v>
      </c>
      <c r="B42" s="5">
        <v>46269</v>
      </c>
      <c r="C42" t="s">
        <v>31</v>
      </c>
      <c r="D42" t="s">
        <v>32</v>
      </c>
      <c r="E42" t="s">
        <v>43</v>
      </c>
      <c r="F42" t="s">
        <v>41</v>
      </c>
      <c r="G42">
        <v>1100</v>
      </c>
      <c r="H42">
        <v>958</v>
      </c>
      <c r="I42">
        <v>14</v>
      </c>
      <c r="J42" s="6">
        <v>89.97</v>
      </c>
      <c r="K42" s="6">
        <v>117.56</v>
      </c>
      <c r="L42">
        <v>30</v>
      </c>
      <c r="M42" s="7">
        <v>3598.8</v>
      </c>
      <c r="N42" s="7">
        <v>300</v>
      </c>
      <c r="O42" s="7">
        <v>275</v>
      </c>
      <c r="P42" s="13" t="str">
        <f>IF(OR(tblClean[[#This Row],[Shift]]="",tblClean[[#This Row],[Actual_Units]]="",tblClean[[#This Row],[Raw_Material_Used_kg]]=""),"Review","OK")</f>
        <v>OK</v>
      </c>
      <c r="Q42" s="14">
        <f>IFERROR(tblClean[[#This Row],[Actual_Units]]/tblClean[[#This Row],[Planned_Units]],"")</f>
        <v>0.87090909090909085</v>
      </c>
      <c r="R42">
        <f>IF(OR(tblClean[[#This Row],[Actual_Units]]="",tblClean[[#This Row],[Planned_Units]]=""),"",tblClean[[#This Row],[Actual_Units]]-tblClean[[#This Row],[Planned_Units]])</f>
        <v>-142</v>
      </c>
      <c r="S42" s="14">
        <f>IFERROR(tblClean[[#This Row],[Defective_Units]]/tblClean[[#This Row],[Actual_Units]],"")</f>
        <v>1.4613778705636743E-2</v>
      </c>
      <c r="T42" s="6">
        <f>IF(OR(tblClean[[#This Row],[Raw_Material_Used_kg]]="",tblClean[[#This Row],[Standard_Material_kg]]=""),"",tblClean[[#This Row],[Raw_Material_Used_kg]]-tblClean[[#This Row],[Standard_Material_kg]])</f>
        <v>-27.590000000000003</v>
      </c>
      <c r="U4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4173.8</v>
      </c>
      <c r="V4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4.4213983050847459</v>
      </c>
    </row>
    <row r="43" spans="1:22">
      <c r="A43" t="s">
        <v>86</v>
      </c>
      <c r="B43" s="5">
        <v>46285</v>
      </c>
      <c r="C43" t="s">
        <v>36</v>
      </c>
      <c r="D43" t="s">
        <v>37</v>
      </c>
      <c r="E43" t="s">
        <v>38</v>
      </c>
      <c r="F43" t="s">
        <v>39</v>
      </c>
      <c r="G43">
        <v>800</v>
      </c>
      <c r="H43">
        <v>620</v>
      </c>
      <c r="I43">
        <v>5</v>
      </c>
      <c r="J43" s="6">
        <v>60.72</v>
      </c>
      <c r="K43" s="6">
        <v>69.08</v>
      </c>
      <c r="L43">
        <v>0</v>
      </c>
      <c r="M43" s="7">
        <v>2246.64</v>
      </c>
      <c r="N43" s="7">
        <v>500</v>
      </c>
      <c r="O43" s="7">
        <v>225</v>
      </c>
      <c r="P43" s="13" t="str">
        <f>IF(OR(tblClean[[#This Row],[Shift]]="",tblClean[[#This Row],[Actual_Units]]="",tblClean[[#This Row],[Raw_Material_Used_kg]]=""),"Review","OK")</f>
        <v>OK</v>
      </c>
      <c r="Q43" s="14">
        <f>IFERROR(tblClean[[#This Row],[Actual_Units]]/tblClean[[#This Row],[Planned_Units]],"")</f>
        <v>0.77500000000000002</v>
      </c>
      <c r="R43">
        <f>IF(OR(tblClean[[#This Row],[Actual_Units]]="",tblClean[[#This Row],[Planned_Units]]=""),"",tblClean[[#This Row],[Actual_Units]]-tblClean[[#This Row],[Planned_Units]])</f>
        <v>-180</v>
      </c>
      <c r="S43" s="14">
        <f>IFERROR(tblClean[[#This Row],[Defective_Units]]/tblClean[[#This Row],[Actual_Units]],"")</f>
        <v>8.0645161290322578E-3</v>
      </c>
      <c r="T43" s="6">
        <f>IF(OR(tblClean[[#This Row],[Raw_Material_Used_kg]]="",tblClean[[#This Row],[Standard_Material_kg]]=""),"",tblClean[[#This Row],[Raw_Material_Used_kg]]-tblClean[[#This Row],[Standard_Material_kg]])</f>
        <v>-8.36</v>
      </c>
      <c r="U4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2971.64</v>
      </c>
      <c r="V4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4.8319349593495931</v>
      </c>
    </row>
    <row r="44" spans="1:22">
      <c r="A44" t="s">
        <v>87</v>
      </c>
      <c r="B44" s="5">
        <v>46286</v>
      </c>
      <c r="C44" t="s">
        <v>31</v>
      </c>
      <c r="D44" t="s">
        <v>32</v>
      </c>
      <c r="E44" t="s">
        <v>38</v>
      </c>
      <c r="F44" t="s">
        <v>41</v>
      </c>
      <c r="G44">
        <v>1200</v>
      </c>
      <c r="H44">
        <v>964</v>
      </c>
      <c r="I44">
        <v>18</v>
      </c>
      <c r="J44" s="6">
        <v>115.9</v>
      </c>
      <c r="K44" s="6">
        <v>126.68</v>
      </c>
      <c r="L44">
        <v>30</v>
      </c>
      <c r="M44" s="7">
        <v>4636</v>
      </c>
      <c r="N44" s="7">
        <v>250</v>
      </c>
      <c r="O44" s="7">
        <v>250</v>
      </c>
      <c r="P44" s="13" t="str">
        <f>IF(OR(tblClean[[#This Row],[Shift]]="",tblClean[[#This Row],[Actual_Units]]="",tblClean[[#This Row],[Raw_Material_Used_kg]]=""),"Review","OK")</f>
        <v>OK</v>
      </c>
      <c r="Q44" s="14">
        <f>IFERROR(tblClean[[#This Row],[Actual_Units]]/tblClean[[#This Row],[Planned_Units]],"")</f>
        <v>0.80333333333333334</v>
      </c>
      <c r="R44">
        <f>IF(OR(tblClean[[#This Row],[Actual_Units]]="",tblClean[[#This Row],[Planned_Units]]=""),"",tblClean[[#This Row],[Actual_Units]]-tblClean[[#This Row],[Planned_Units]])</f>
        <v>-236</v>
      </c>
      <c r="S44" s="14">
        <f>IFERROR(tblClean[[#This Row],[Defective_Units]]/tblClean[[#This Row],[Actual_Units]],"")</f>
        <v>1.8672199170124481E-2</v>
      </c>
      <c r="T44" s="6">
        <f>IF(OR(tblClean[[#This Row],[Raw_Material_Used_kg]]="",tblClean[[#This Row],[Standard_Material_kg]]=""),"",tblClean[[#This Row],[Raw_Material_Used_kg]]-tblClean[[#This Row],[Standard_Material_kg]])</f>
        <v>-10.780000000000001</v>
      </c>
      <c r="U4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5136</v>
      </c>
      <c r="V4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5.4291754756871038</v>
      </c>
    </row>
    <row r="45" spans="1:22">
      <c r="A45" t="s">
        <v>88</v>
      </c>
      <c r="B45" s="5">
        <v>46289</v>
      </c>
      <c r="C45" t="s">
        <v>36</v>
      </c>
      <c r="D45" t="s">
        <v>37</v>
      </c>
      <c r="E45" t="s">
        <v>33</v>
      </c>
      <c r="F45" t="s">
        <v>39</v>
      </c>
      <c r="G45">
        <v>900</v>
      </c>
      <c r="H45">
        <v>847</v>
      </c>
      <c r="I45">
        <v>36</v>
      </c>
      <c r="J45" s="6">
        <v>79.11</v>
      </c>
      <c r="K45" s="6">
        <v>97.85</v>
      </c>
      <c r="L45">
        <v>60</v>
      </c>
      <c r="M45" s="7">
        <v>2215.08</v>
      </c>
      <c r="N45" s="7">
        <v>350</v>
      </c>
      <c r="O45" s="7">
        <v>300</v>
      </c>
      <c r="P45" s="13" t="str">
        <f>IF(OR(tblClean[[#This Row],[Shift]]="",tblClean[[#This Row],[Actual_Units]]="",tblClean[[#This Row],[Raw_Material_Used_kg]]=""),"Review","OK")</f>
        <v>OK</v>
      </c>
      <c r="Q45" s="14">
        <f>IFERROR(tblClean[[#This Row],[Actual_Units]]/tblClean[[#This Row],[Planned_Units]],"")</f>
        <v>0.94111111111111112</v>
      </c>
      <c r="R45">
        <f>IF(OR(tblClean[[#This Row],[Actual_Units]]="",tblClean[[#This Row],[Planned_Units]]=""),"",tblClean[[#This Row],[Actual_Units]]-tblClean[[#This Row],[Planned_Units]])</f>
        <v>-53</v>
      </c>
      <c r="S45" s="14">
        <f>IFERROR(tblClean[[#This Row],[Defective_Units]]/tblClean[[#This Row],[Actual_Units]],"")</f>
        <v>4.2502951593860687E-2</v>
      </c>
      <c r="T45" s="6">
        <f>IF(OR(tblClean[[#This Row],[Raw_Material_Used_kg]]="",tblClean[[#This Row],[Standard_Material_kg]]=""),"",tblClean[[#This Row],[Raw_Material_Used_kg]]-tblClean[[#This Row],[Standard_Material_kg]])</f>
        <v>-18.739999999999995</v>
      </c>
      <c r="U4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2865.08</v>
      </c>
      <c r="V4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3.5327743526510478</v>
      </c>
    </row>
    <row r="46" spans="1:22">
      <c r="A46" t="s">
        <v>89</v>
      </c>
      <c r="B46" s="5">
        <v>46284</v>
      </c>
      <c r="C46" t="s">
        <v>45</v>
      </c>
      <c r="D46" t="s">
        <v>46</v>
      </c>
      <c r="E46" t="s">
        <v>33</v>
      </c>
      <c r="F46" t="s">
        <v>34</v>
      </c>
      <c r="G46">
        <v>800</v>
      </c>
      <c r="H46">
        <v>666</v>
      </c>
      <c r="I46">
        <v>22</v>
      </c>
      <c r="J46" s="6"/>
      <c r="K46" s="6">
        <v>66.42</v>
      </c>
      <c r="L46">
        <v>75</v>
      </c>
      <c r="M46" s="7">
        <v>2619.19</v>
      </c>
      <c r="N46" s="7">
        <v>300</v>
      </c>
      <c r="O46" s="7">
        <v>250</v>
      </c>
      <c r="P46" s="13" t="str">
        <f>IF(OR(tblClean[[#This Row],[Shift]]="",tblClean[[#This Row],[Actual_Units]]="",tblClean[[#This Row],[Raw_Material_Used_kg]]=""),"Review","OK")</f>
        <v>Review</v>
      </c>
      <c r="Q46" s="14">
        <f>IFERROR(tblClean[[#This Row],[Actual_Units]]/tblClean[[#This Row],[Planned_Units]],"")</f>
        <v>0.83250000000000002</v>
      </c>
      <c r="R46">
        <f>IF(OR(tblClean[[#This Row],[Actual_Units]]="",tblClean[[#This Row],[Planned_Units]]=""),"",tblClean[[#This Row],[Actual_Units]]-tblClean[[#This Row],[Planned_Units]])</f>
        <v>-134</v>
      </c>
      <c r="S46" s="14">
        <f>IFERROR(tblClean[[#This Row],[Defective_Units]]/tblClean[[#This Row],[Actual_Units]],"")</f>
        <v>3.3033033033033031E-2</v>
      </c>
      <c r="T46" s="6" t="str">
        <f>IF(OR(tblClean[[#This Row],[Raw_Material_Used_kg]]="",tblClean[[#This Row],[Standard_Material_kg]]=""),"",tblClean[[#This Row],[Raw_Material_Used_kg]]-tblClean[[#This Row],[Standard_Material_kg]])</f>
        <v/>
      </c>
      <c r="U4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3169.19</v>
      </c>
      <c r="V4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4.9211024844720495</v>
      </c>
    </row>
    <row r="47" spans="1:22">
      <c r="A47" t="s">
        <v>90</v>
      </c>
      <c r="B47" s="5">
        <v>46277</v>
      </c>
      <c r="C47" t="s">
        <v>45</v>
      </c>
      <c r="D47" t="s">
        <v>46</v>
      </c>
      <c r="E47" t="s">
        <v>38</v>
      </c>
      <c r="F47" t="s">
        <v>34</v>
      </c>
      <c r="G47">
        <v>1000</v>
      </c>
      <c r="H47">
        <v>809</v>
      </c>
      <c r="I47">
        <v>5</v>
      </c>
      <c r="J47" s="6">
        <v>82.29</v>
      </c>
      <c r="K47" s="6">
        <v>85.97</v>
      </c>
      <c r="L47">
        <v>15</v>
      </c>
      <c r="M47" s="7">
        <v>2550.9899999999998</v>
      </c>
      <c r="N47" s="7">
        <v>500</v>
      </c>
      <c r="O47" s="7">
        <v>275</v>
      </c>
      <c r="P47" s="13" t="str">
        <f>IF(OR(tblClean[[#This Row],[Shift]]="",tblClean[[#This Row],[Actual_Units]]="",tblClean[[#This Row],[Raw_Material_Used_kg]]=""),"Review","OK")</f>
        <v>OK</v>
      </c>
      <c r="Q47" s="14">
        <f>IFERROR(tblClean[[#This Row],[Actual_Units]]/tblClean[[#This Row],[Planned_Units]],"")</f>
        <v>0.80900000000000005</v>
      </c>
      <c r="R47">
        <f>IF(OR(tblClean[[#This Row],[Actual_Units]]="",tblClean[[#This Row],[Planned_Units]]=""),"",tblClean[[#This Row],[Actual_Units]]-tblClean[[#This Row],[Planned_Units]])</f>
        <v>-191</v>
      </c>
      <c r="S47" s="14">
        <f>IFERROR(tblClean[[#This Row],[Defective_Units]]/tblClean[[#This Row],[Actual_Units]],"")</f>
        <v>6.180469715698393E-3</v>
      </c>
      <c r="T47" s="6">
        <f>IF(OR(tblClean[[#This Row],[Raw_Material_Used_kg]]="",tblClean[[#This Row],[Standard_Material_kg]]=""),"",tblClean[[#This Row],[Raw_Material_Used_kg]]-tblClean[[#This Row],[Standard_Material_kg]])</f>
        <v>-3.6799999999999926</v>
      </c>
      <c r="U4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3325.99</v>
      </c>
      <c r="V4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4.1368034825870641</v>
      </c>
    </row>
    <row r="48" spans="1:22">
      <c r="A48" t="s">
        <v>91</v>
      </c>
      <c r="B48" s="5">
        <v>46281</v>
      </c>
      <c r="C48" t="s">
        <v>45</v>
      </c>
      <c r="D48" t="s">
        <v>46</v>
      </c>
      <c r="E48" t="s">
        <v>33</v>
      </c>
      <c r="F48" t="s">
        <v>41</v>
      </c>
      <c r="G48">
        <v>900</v>
      </c>
      <c r="H48">
        <v>782</v>
      </c>
      <c r="I48">
        <v>30</v>
      </c>
      <c r="J48" s="6">
        <v>91.92</v>
      </c>
      <c r="K48" s="6">
        <v>76.260000000000005</v>
      </c>
      <c r="L48">
        <v>20</v>
      </c>
      <c r="M48" s="7">
        <v>2849.52</v>
      </c>
      <c r="N48" s="7">
        <v>450</v>
      </c>
      <c r="O48" s="7">
        <v>225</v>
      </c>
      <c r="P48" s="13" t="str">
        <f>IF(OR(tblClean[[#This Row],[Shift]]="",tblClean[[#This Row],[Actual_Units]]="",tblClean[[#This Row],[Raw_Material_Used_kg]]=""),"Review","OK")</f>
        <v>OK</v>
      </c>
      <c r="Q48" s="14">
        <f>IFERROR(tblClean[[#This Row],[Actual_Units]]/tblClean[[#This Row],[Planned_Units]],"")</f>
        <v>0.86888888888888893</v>
      </c>
      <c r="R48">
        <f>IF(OR(tblClean[[#This Row],[Actual_Units]]="",tblClean[[#This Row],[Planned_Units]]=""),"",tblClean[[#This Row],[Actual_Units]]-tblClean[[#This Row],[Planned_Units]])</f>
        <v>-118</v>
      </c>
      <c r="S48" s="14">
        <f>IFERROR(tblClean[[#This Row],[Defective_Units]]/tblClean[[#This Row],[Actual_Units]],"")</f>
        <v>3.8363171355498722E-2</v>
      </c>
      <c r="T48" s="6">
        <f>IF(OR(tblClean[[#This Row],[Raw_Material_Used_kg]]="",tblClean[[#This Row],[Standard_Material_kg]]=""),"",tblClean[[#This Row],[Raw_Material_Used_kg]]-tblClean[[#This Row],[Standard_Material_kg]])</f>
        <v>15.659999999999997</v>
      </c>
      <c r="U4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3524.52</v>
      </c>
      <c r="V4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4.6868617021276595</v>
      </c>
    </row>
    <row r="49" spans="1:22">
      <c r="A49" t="s">
        <v>92</v>
      </c>
      <c r="B49" s="5">
        <v>46274</v>
      </c>
      <c r="C49" t="s">
        <v>36</v>
      </c>
      <c r="D49" t="s">
        <v>37</v>
      </c>
      <c r="E49" t="s">
        <v>38</v>
      </c>
      <c r="F49" t="s">
        <v>34</v>
      </c>
      <c r="G49">
        <v>1100</v>
      </c>
      <c r="H49">
        <v>1083</v>
      </c>
      <c r="I49">
        <v>21</v>
      </c>
      <c r="J49" s="6">
        <v>137.37</v>
      </c>
      <c r="K49" s="6">
        <v>104.62</v>
      </c>
      <c r="L49">
        <v>45</v>
      </c>
      <c r="M49" s="7">
        <v>4258.47</v>
      </c>
      <c r="N49" s="7">
        <v>250</v>
      </c>
      <c r="O49" s="7">
        <v>250</v>
      </c>
      <c r="P49" s="13" t="str">
        <f>IF(OR(tblClean[[#This Row],[Shift]]="",tblClean[[#This Row],[Actual_Units]]="",tblClean[[#This Row],[Raw_Material_Used_kg]]=""),"Review","OK")</f>
        <v>OK</v>
      </c>
      <c r="Q49" s="14">
        <f>IFERROR(tblClean[[#This Row],[Actual_Units]]/tblClean[[#This Row],[Planned_Units]],"")</f>
        <v>0.9845454545454545</v>
      </c>
      <c r="R49">
        <f>IF(OR(tblClean[[#This Row],[Actual_Units]]="",tblClean[[#This Row],[Planned_Units]]=""),"",tblClean[[#This Row],[Actual_Units]]-tblClean[[#This Row],[Planned_Units]])</f>
        <v>-17</v>
      </c>
      <c r="S49" s="14">
        <f>IFERROR(tblClean[[#This Row],[Defective_Units]]/tblClean[[#This Row],[Actual_Units]],"")</f>
        <v>1.9390581717451522E-2</v>
      </c>
      <c r="T49" s="6">
        <f>IF(OR(tblClean[[#This Row],[Raw_Material_Used_kg]]="",tblClean[[#This Row],[Standard_Material_kg]]=""),"",tblClean[[#This Row],[Raw_Material_Used_kg]]-tblClean[[#This Row],[Standard_Material_kg]])</f>
        <v>32.75</v>
      </c>
      <c r="U4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4758.47</v>
      </c>
      <c r="V4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4.4806685499058378</v>
      </c>
    </row>
    <row r="50" spans="1:22">
      <c r="A50" t="s">
        <v>93</v>
      </c>
      <c r="B50" s="5">
        <v>46285</v>
      </c>
      <c r="C50" t="s">
        <v>45</v>
      </c>
      <c r="D50" t="s">
        <v>46</v>
      </c>
      <c r="E50" t="s">
        <v>38</v>
      </c>
      <c r="F50" t="s">
        <v>39</v>
      </c>
      <c r="G50">
        <v>1100</v>
      </c>
      <c r="H50">
        <v>1005</v>
      </c>
      <c r="I50">
        <v>30</v>
      </c>
      <c r="J50" s="6">
        <v>108.89</v>
      </c>
      <c r="K50" s="6">
        <v>118.23</v>
      </c>
      <c r="L50">
        <v>5</v>
      </c>
      <c r="M50" s="7">
        <v>3375.59</v>
      </c>
      <c r="N50" s="7">
        <v>400</v>
      </c>
      <c r="O50" s="7">
        <v>275</v>
      </c>
      <c r="P50" s="13" t="str">
        <f>IF(OR(tblClean[[#This Row],[Shift]]="",tblClean[[#This Row],[Actual_Units]]="",tblClean[[#This Row],[Raw_Material_Used_kg]]=""),"Review","OK")</f>
        <v>OK</v>
      </c>
      <c r="Q50" s="14">
        <f>IFERROR(tblClean[[#This Row],[Actual_Units]]/tblClean[[#This Row],[Planned_Units]],"")</f>
        <v>0.91363636363636369</v>
      </c>
      <c r="R50">
        <f>IF(OR(tblClean[[#This Row],[Actual_Units]]="",tblClean[[#This Row],[Planned_Units]]=""),"",tblClean[[#This Row],[Actual_Units]]-tblClean[[#This Row],[Planned_Units]])</f>
        <v>-95</v>
      </c>
      <c r="S50" s="14">
        <f>IFERROR(tblClean[[#This Row],[Defective_Units]]/tblClean[[#This Row],[Actual_Units]],"")</f>
        <v>2.9850746268656716E-2</v>
      </c>
      <c r="T50" s="6">
        <f>IF(OR(tblClean[[#This Row],[Raw_Material_Used_kg]]="",tblClean[[#This Row],[Standard_Material_kg]]=""),"",tblClean[[#This Row],[Raw_Material_Used_kg]]-tblClean[[#This Row],[Standard_Material_kg]])</f>
        <v>-9.3400000000000034</v>
      </c>
      <c r="U5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4050.59</v>
      </c>
      <c r="V5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4.1544512820512818</v>
      </c>
    </row>
    <row r="51" spans="1:22">
      <c r="A51" t="s">
        <v>94</v>
      </c>
      <c r="B51" s="5">
        <v>46278</v>
      </c>
      <c r="C51" t="s">
        <v>36</v>
      </c>
      <c r="D51" t="s">
        <v>37</v>
      </c>
      <c r="E51" t="s">
        <v>38</v>
      </c>
      <c r="F51" t="s">
        <v>41</v>
      </c>
      <c r="G51">
        <v>1300</v>
      </c>
      <c r="H51">
        <v>1321</v>
      </c>
      <c r="I51">
        <v>16</v>
      </c>
      <c r="J51" s="6">
        <v>130.76</v>
      </c>
      <c r="K51" s="6">
        <v>136.19999999999999</v>
      </c>
      <c r="L51">
        <v>5</v>
      </c>
      <c r="M51" s="7">
        <v>4838.12</v>
      </c>
      <c r="N51" s="7">
        <v>300</v>
      </c>
      <c r="O51" s="7">
        <v>275</v>
      </c>
      <c r="P51" s="13" t="str">
        <f>IF(OR(tblClean[[#This Row],[Shift]]="",tblClean[[#This Row],[Actual_Units]]="",tblClean[[#This Row],[Raw_Material_Used_kg]]=""),"Review","OK")</f>
        <v>OK</v>
      </c>
      <c r="Q51" s="14">
        <f>IFERROR(tblClean[[#This Row],[Actual_Units]]/tblClean[[#This Row],[Planned_Units]],"")</f>
        <v>1.0161538461538462</v>
      </c>
      <c r="R51">
        <f>IF(OR(tblClean[[#This Row],[Actual_Units]]="",tblClean[[#This Row],[Planned_Units]]=""),"",tblClean[[#This Row],[Actual_Units]]-tblClean[[#This Row],[Planned_Units]])</f>
        <v>21</v>
      </c>
      <c r="S51" s="14">
        <f>IFERROR(tblClean[[#This Row],[Defective_Units]]/tblClean[[#This Row],[Actual_Units]],"")</f>
        <v>1.2112036336109008E-2</v>
      </c>
      <c r="T51" s="6">
        <f>IF(OR(tblClean[[#This Row],[Raw_Material_Used_kg]]="",tblClean[[#This Row],[Standard_Material_kg]]=""),"",tblClean[[#This Row],[Raw_Material_Used_kg]]-tblClean[[#This Row],[Standard_Material_kg]])</f>
        <v>-5.4399999999999977</v>
      </c>
      <c r="U5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5413.12</v>
      </c>
      <c r="V5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4.1479846743295017</v>
      </c>
    </row>
    <row r="52" spans="1:22">
      <c r="A52" t="s">
        <v>95</v>
      </c>
      <c r="B52" s="5">
        <v>46274</v>
      </c>
      <c r="C52" t="s">
        <v>31</v>
      </c>
      <c r="D52" t="s">
        <v>32</v>
      </c>
      <c r="E52" t="s">
        <v>43</v>
      </c>
      <c r="F52" t="s">
        <v>34</v>
      </c>
      <c r="G52">
        <v>800</v>
      </c>
      <c r="H52">
        <v>801</v>
      </c>
      <c r="I52">
        <v>14</v>
      </c>
      <c r="J52" s="6">
        <v>99.32</v>
      </c>
      <c r="K52" s="6">
        <v>66.87</v>
      </c>
      <c r="L52">
        <v>10</v>
      </c>
      <c r="M52" s="7">
        <v>3376.88</v>
      </c>
      <c r="N52" s="7">
        <v>300</v>
      </c>
      <c r="O52" s="7">
        <v>250</v>
      </c>
      <c r="P52" s="13" t="str">
        <f>IF(OR(tblClean[[#This Row],[Shift]]="",tblClean[[#This Row],[Actual_Units]]="",tblClean[[#This Row],[Raw_Material_Used_kg]]=""),"Review","OK")</f>
        <v>OK</v>
      </c>
      <c r="Q52" s="14">
        <f>IFERROR(tblClean[[#This Row],[Actual_Units]]/tblClean[[#This Row],[Planned_Units]],"")</f>
        <v>1.00125</v>
      </c>
      <c r="R52">
        <f>IF(OR(tblClean[[#This Row],[Actual_Units]]="",tblClean[[#This Row],[Planned_Units]]=""),"",tblClean[[#This Row],[Actual_Units]]-tblClean[[#This Row],[Planned_Units]])</f>
        <v>1</v>
      </c>
      <c r="S52" s="14">
        <f>IFERROR(tblClean[[#This Row],[Defective_Units]]/tblClean[[#This Row],[Actual_Units]],"")</f>
        <v>1.7478152309612985E-2</v>
      </c>
      <c r="T52" s="6">
        <f>IF(OR(tblClean[[#This Row],[Raw_Material_Used_kg]]="",tblClean[[#This Row],[Standard_Material_kg]]=""),"",tblClean[[#This Row],[Raw_Material_Used_kg]]-tblClean[[#This Row],[Standard_Material_kg]])</f>
        <v>32.449999999999989</v>
      </c>
      <c r="U5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3926.88</v>
      </c>
      <c r="V5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4.9896823379923765</v>
      </c>
    </row>
    <row r="53" spans="1:22">
      <c r="A53" t="s">
        <v>96</v>
      </c>
      <c r="B53" s="5">
        <v>46280</v>
      </c>
      <c r="C53" t="s">
        <v>48</v>
      </c>
      <c r="D53" t="s">
        <v>49</v>
      </c>
      <c r="E53" t="s">
        <v>33</v>
      </c>
      <c r="F53" t="s">
        <v>41</v>
      </c>
      <c r="G53">
        <v>800</v>
      </c>
      <c r="H53">
        <v>817</v>
      </c>
      <c r="I53">
        <v>36</v>
      </c>
      <c r="J53" s="6">
        <v>90.52</v>
      </c>
      <c r="K53" s="6">
        <v>81.36</v>
      </c>
      <c r="L53">
        <v>0</v>
      </c>
      <c r="M53" s="7">
        <v>3349.24</v>
      </c>
      <c r="N53" s="7">
        <v>250</v>
      </c>
      <c r="O53" s="7">
        <v>180</v>
      </c>
      <c r="P53" s="13" t="str">
        <f>IF(OR(tblClean[[#This Row],[Shift]]="",tblClean[[#This Row],[Actual_Units]]="",tblClean[[#This Row],[Raw_Material_Used_kg]]=""),"Review","OK")</f>
        <v>OK</v>
      </c>
      <c r="Q53" s="14">
        <f>IFERROR(tblClean[[#This Row],[Actual_Units]]/tblClean[[#This Row],[Planned_Units]],"")</f>
        <v>1.02125</v>
      </c>
      <c r="R53">
        <f>IF(OR(tblClean[[#This Row],[Actual_Units]]="",tblClean[[#This Row],[Planned_Units]]=""),"",tblClean[[#This Row],[Actual_Units]]-tblClean[[#This Row],[Planned_Units]])</f>
        <v>17</v>
      </c>
      <c r="S53" s="14">
        <f>IFERROR(tblClean[[#This Row],[Defective_Units]]/tblClean[[#This Row],[Actual_Units]],"")</f>
        <v>4.4063647490820076E-2</v>
      </c>
      <c r="T53" s="6">
        <f>IF(OR(tblClean[[#This Row],[Raw_Material_Used_kg]]="",tblClean[[#This Row],[Standard_Material_kg]]=""),"",tblClean[[#This Row],[Raw_Material_Used_kg]]-tblClean[[#This Row],[Standard_Material_kg]])</f>
        <v>9.1599999999999966</v>
      </c>
      <c r="U5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3779.24</v>
      </c>
      <c r="V5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4.8389756722151089</v>
      </c>
    </row>
    <row r="54" spans="1:22">
      <c r="A54" t="s">
        <v>97</v>
      </c>
      <c r="B54" s="5">
        <v>46282</v>
      </c>
      <c r="C54" t="s">
        <v>48</v>
      </c>
      <c r="D54" t="s">
        <v>49</v>
      </c>
      <c r="E54" t="s">
        <v>38</v>
      </c>
      <c r="F54" t="s">
        <v>41</v>
      </c>
      <c r="G54">
        <v>1200</v>
      </c>
      <c r="H54">
        <v>946</v>
      </c>
      <c r="I54">
        <v>20</v>
      </c>
      <c r="J54" s="6">
        <v>107.99</v>
      </c>
      <c r="K54" s="6">
        <v>113.86</v>
      </c>
      <c r="L54">
        <v>60</v>
      </c>
      <c r="M54" s="7">
        <v>3671.66</v>
      </c>
      <c r="N54" s="7">
        <v>450</v>
      </c>
      <c r="O54" s="7">
        <v>300</v>
      </c>
      <c r="P54" s="13" t="str">
        <f>IF(OR(tblClean[[#This Row],[Shift]]="",tblClean[[#This Row],[Actual_Units]]="",tblClean[[#This Row],[Raw_Material_Used_kg]]=""),"Review","OK")</f>
        <v>OK</v>
      </c>
      <c r="Q54" s="14">
        <f>IFERROR(tblClean[[#This Row],[Actual_Units]]/tblClean[[#This Row],[Planned_Units]],"")</f>
        <v>0.78833333333333333</v>
      </c>
      <c r="R54">
        <f>IF(OR(tblClean[[#This Row],[Actual_Units]]="",tblClean[[#This Row],[Planned_Units]]=""),"",tblClean[[#This Row],[Actual_Units]]-tblClean[[#This Row],[Planned_Units]])</f>
        <v>-254</v>
      </c>
      <c r="S54" s="14">
        <f>IFERROR(tblClean[[#This Row],[Defective_Units]]/tblClean[[#This Row],[Actual_Units]],"")</f>
        <v>2.1141649048625793E-2</v>
      </c>
      <c r="T54" s="6">
        <f>IF(OR(tblClean[[#This Row],[Raw_Material_Used_kg]]="",tblClean[[#This Row],[Standard_Material_kg]]=""),"",tblClean[[#This Row],[Raw_Material_Used_kg]]-tblClean[[#This Row],[Standard_Material_kg]])</f>
        <v>-5.8700000000000045</v>
      </c>
      <c r="U5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4421.66</v>
      </c>
      <c r="V5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4.7750107991360693</v>
      </c>
    </row>
    <row r="55" spans="1:22">
      <c r="A55" t="s">
        <v>98</v>
      </c>
      <c r="B55" s="5">
        <v>46266</v>
      </c>
      <c r="C55" t="s">
        <v>31</v>
      </c>
      <c r="D55" t="s">
        <v>32</v>
      </c>
      <c r="E55" t="s">
        <v>33</v>
      </c>
      <c r="F55" t="s">
        <v>41</v>
      </c>
      <c r="G55">
        <v>1000</v>
      </c>
      <c r="H55">
        <v>747</v>
      </c>
      <c r="I55">
        <v>33</v>
      </c>
      <c r="J55" s="6">
        <v>96.66</v>
      </c>
      <c r="K55" s="6">
        <v>100.6</v>
      </c>
      <c r="L55">
        <v>10</v>
      </c>
      <c r="M55" s="7">
        <v>2706.48</v>
      </c>
      <c r="N55" s="7">
        <v>250</v>
      </c>
      <c r="O55" s="7">
        <v>275</v>
      </c>
      <c r="P55" s="13" t="str">
        <f>IF(OR(tblClean[[#This Row],[Shift]]="",tblClean[[#This Row],[Actual_Units]]="",tblClean[[#This Row],[Raw_Material_Used_kg]]=""),"Review","OK")</f>
        <v>OK</v>
      </c>
      <c r="Q55" s="14">
        <f>IFERROR(tblClean[[#This Row],[Actual_Units]]/tblClean[[#This Row],[Planned_Units]],"")</f>
        <v>0.747</v>
      </c>
      <c r="R55">
        <f>IF(OR(tblClean[[#This Row],[Actual_Units]]="",tblClean[[#This Row],[Planned_Units]]=""),"",tblClean[[#This Row],[Actual_Units]]-tblClean[[#This Row],[Planned_Units]])</f>
        <v>-253</v>
      </c>
      <c r="S55" s="14">
        <f>IFERROR(tblClean[[#This Row],[Defective_Units]]/tblClean[[#This Row],[Actual_Units]],"")</f>
        <v>4.4176706827309238E-2</v>
      </c>
      <c r="T55" s="6">
        <f>IF(OR(tblClean[[#This Row],[Raw_Material_Used_kg]]="",tblClean[[#This Row],[Standard_Material_kg]]=""),"",tblClean[[#This Row],[Raw_Material_Used_kg]]-tblClean[[#This Row],[Standard_Material_kg]])</f>
        <v>-3.9399999999999977</v>
      </c>
      <c r="U5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3231.48</v>
      </c>
      <c r="V5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4.5258823529411769</v>
      </c>
    </row>
    <row r="56" spans="1:22">
      <c r="A56" t="s">
        <v>99</v>
      </c>
      <c r="B56" s="5">
        <v>46275</v>
      </c>
      <c r="C56" t="s">
        <v>36</v>
      </c>
      <c r="D56" t="s">
        <v>37</v>
      </c>
      <c r="E56" t="s">
        <v>33</v>
      </c>
      <c r="F56" t="s">
        <v>34</v>
      </c>
      <c r="G56">
        <v>1300</v>
      </c>
      <c r="H56">
        <v>1102</v>
      </c>
      <c r="I56">
        <v>34</v>
      </c>
      <c r="J56" s="6">
        <v>130.51</v>
      </c>
      <c r="K56" s="6">
        <v>135.07</v>
      </c>
      <c r="L56">
        <v>0</v>
      </c>
      <c r="M56" s="7">
        <v>3654.28</v>
      </c>
      <c r="N56" s="7">
        <v>250</v>
      </c>
      <c r="O56" s="7">
        <v>225</v>
      </c>
      <c r="P56" s="13" t="str">
        <f>IF(OR(tblClean[[#This Row],[Shift]]="",tblClean[[#This Row],[Actual_Units]]="",tblClean[[#This Row],[Raw_Material_Used_kg]]=""),"Review","OK")</f>
        <v>OK</v>
      </c>
      <c r="Q56" s="14">
        <f>IFERROR(tblClean[[#This Row],[Actual_Units]]/tblClean[[#This Row],[Planned_Units]],"")</f>
        <v>0.84769230769230774</v>
      </c>
      <c r="R56">
        <f>IF(OR(tblClean[[#This Row],[Actual_Units]]="",tblClean[[#This Row],[Planned_Units]]=""),"",tblClean[[#This Row],[Actual_Units]]-tblClean[[#This Row],[Planned_Units]])</f>
        <v>-198</v>
      </c>
      <c r="S56" s="14">
        <f>IFERROR(tblClean[[#This Row],[Defective_Units]]/tblClean[[#This Row],[Actual_Units]],"")</f>
        <v>3.0852994555353903E-2</v>
      </c>
      <c r="T56" s="6">
        <f>IF(OR(tblClean[[#This Row],[Raw_Material_Used_kg]]="",tblClean[[#This Row],[Standard_Material_kg]]=""),"",tblClean[[#This Row],[Raw_Material_Used_kg]]-tblClean[[#This Row],[Standard_Material_kg]])</f>
        <v>-4.5600000000000023</v>
      </c>
      <c r="U5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4129.2800000000007</v>
      </c>
      <c r="V5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3.8663670411985023</v>
      </c>
    </row>
    <row r="57" spans="1:22">
      <c r="A57" t="s">
        <v>100</v>
      </c>
      <c r="B57" s="5">
        <v>46278</v>
      </c>
      <c r="C57" t="s">
        <v>36</v>
      </c>
      <c r="D57" t="s">
        <v>37</v>
      </c>
      <c r="E57" t="s">
        <v>33</v>
      </c>
      <c r="F57" t="s">
        <v>34</v>
      </c>
      <c r="G57">
        <v>800</v>
      </c>
      <c r="H57">
        <v>583</v>
      </c>
      <c r="I57">
        <v>15</v>
      </c>
      <c r="J57" s="6">
        <v>71.510000000000005</v>
      </c>
      <c r="K57" s="6">
        <v>79.95</v>
      </c>
      <c r="L57">
        <v>0</v>
      </c>
      <c r="M57" s="7">
        <v>2431.34</v>
      </c>
      <c r="N57" s="7">
        <v>250</v>
      </c>
      <c r="O57" s="7">
        <v>180</v>
      </c>
      <c r="P57" s="13" t="str">
        <f>IF(OR(tblClean[[#This Row],[Shift]]="",tblClean[[#This Row],[Actual_Units]]="",tblClean[[#This Row],[Raw_Material_Used_kg]]=""),"Review","OK")</f>
        <v>OK</v>
      </c>
      <c r="Q57" s="14">
        <f>IFERROR(tblClean[[#This Row],[Actual_Units]]/tblClean[[#This Row],[Planned_Units]],"")</f>
        <v>0.72875000000000001</v>
      </c>
      <c r="R57">
        <f>IF(OR(tblClean[[#This Row],[Actual_Units]]="",tblClean[[#This Row],[Planned_Units]]=""),"",tblClean[[#This Row],[Actual_Units]]-tblClean[[#This Row],[Planned_Units]])</f>
        <v>-217</v>
      </c>
      <c r="S57" s="14">
        <f>IFERROR(tblClean[[#This Row],[Defective_Units]]/tblClean[[#This Row],[Actual_Units]],"")</f>
        <v>2.5728987993138937E-2</v>
      </c>
      <c r="T57" s="6">
        <f>IF(OR(tblClean[[#This Row],[Raw_Material_Used_kg]]="",tblClean[[#This Row],[Standard_Material_kg]]=""),"",tblClean[[#This Row],[Raw_Material_Used_kg]]-tblClean[[#This Row],[Standard_Material_kg]])</f>
        <v>-8.4399999999999977</v>
      </c>
      <c r="U5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2861.34</v>
      </c>
      <c r="V5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5.0375704225352118</v>
      </c>
    </row>
    <row r="58" spans="1:22">
      <c r="A58" t="s">
        <v>101</v>
      </c>
      <c r="B58" s="5">
        <v>46271</v>
      </c>
      <c r="C58" t="s">
        <v>31</v>
      </c>
      <c r="D58" t="s">
        <v>32</v>
      </c>
      <c r="E58" t="s">
        <v>38</v>
      </c>
      <c r="F58" t="s">
        <v>39</v>
      </c>
      <c r="G58">
        <v>1300</v>
      </c>
      <c r="H58">
        <v>1277</v>
      </c>
      <c r="I58">
        <v>30</v>
      </c>
      <c r="J58" s="6">
        <v>127.28</v>
      </c>
      <c r="K58" s="6">
        <v>141.82</v>
      </c>
      <c r="L58">
        <v>45</v>
      </c>
      <c r="M58" s="7">
        <v>3563.84</v>
      </c>
      <c r="N58" s="7">
        <v>250</v>
      </c>
      <c r="O58" s="7">
        <v>250</v>
      </c>
      <c r="P58" s="13" t="str">
        <f>IF(OR(tblClean[[#This Row],[Shift]]="",tblClean[[#This Row],[Actual_Units]]="",tblClean[[#This Row],[Raw_Material_Used_kg]]=""),"Review","OK")</f>
        <v>OK</v>
      </c>
      <c r="Q58" s="14">
        <f>IFERROR(tblClean[[#This Row],[Actual_Units]]/tblClean[[#This Row],[Planned_Units]],"")</f>
        <v>0.98230769230769233</v>
      </c>
      <c r="R58">
        <f>IF(OR(tblClean[[#This Row],[Actual_Units]]="",tblClean[[#This Row],[Planned_Units]]=""),"",tblClean[[#This Row],[Actual_Units]]-tblClean[[#This Row],[Planned_Units]])</f>
        <v>-23</v>
      </c>
      <c r="S58" s="14">
        <f>IFERROR(tblClean[[#This Row],[Defective_Units]]/tblClean[[#This Row],[Actual_Units]],"")</f>
        <v>2.3492560689115115E-2</v>
      </c>
      <c r="T58" s="6">
        <f>IF(OR(tblClean[[#This Row],[Raw_Material_Used_kg]]="",tblClean[[#This Row],[Standard_Material_kg]]=""),"",tblClean[[#This Row],[Raw_Material_Used_kg]]-tblClean[[#This Row],[Standard_Material_kg]])</f>
        <v>-14.539999999999992</v>
      </c>
      <c r="U5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4063.84</v>
      </c>
      <c r="V5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3.2588933440256618</v>
      </c>
    </row>
    <row r="59" spans="1:22">
      <c r="A59" t="s">
        <v>102</v>
      </c>
      <c r="B59" s="5">
        <v>46285</v>
      </c>
      <c r="C59" t="s">
        <v>48</v>
      </c>
      <c r="D59" t="s">
        <v>49</v>
      </c>
      <c r="E59" t="s">
        <v>43</v>
      </c>
      <c r="F59" t="s">
        <v>39</v>
      </c>
      <c r="G59">
        <v>1200</v>
      </c>
      <c r="H59">
        <v>1056</v>
      </c>
      <c r="I59">
        <v>14</v>
      </c>
      <c r="J59" s="6">
        <v>104.43</v>
      </c>
      <c r="K59" s="6">
        <v>104.34</v>
      </c>
      <c r="L59">
        <v>60</v>
      </c>
      <c r="M59" s="7">
        <v>2924.04</v>
      </c>
      <c r="N59" s="7">
        <v>300</v>
      </c>
      <c r="O59" s="7">
        <v>250</v>
      </c>
      <c r="P59" s="13" t="str">
        <f>IF(OR(tblClean[[#This Row],[Shift]]="",tblClean[[#This Row],[Actual_Units]]="",tblClean[[#This Row],[Raw_Material_Used_kg]]=""),"Review","OK")</f>
        <v>OK</v>
      </c>
      <c r="Q59" s="14">
        <f>IFERROR(tblClean[[#This Row],[Actual_Units]]/tblClean[[#This Row],[Planned_Units]],"")</f>
        <v>0.88</v>
      </c>
      <c r="R59">
        <f>IF(OR(tblClean[[#This Row],[Actual_Units]]="",tblClean[[#This Row],[Planned_Units]]=""),"",tblClean[[#This Row],[Actual_Units]]-tblClean[[#This Row],[Planned_Units]])</f>
        <v>-144</v>
      </c>
      <c r="S59" s="14">
        <f>IFERROR(tblClean[[#This Row],[Defective_Units]]/tblClean[[#This Row],[Actual_Units]],"")</f>
        <v>1.3257575757575758E-2</v>
      </c>
      <c r="T59" s="6">
        <f>IF(OR(tblClean[[#This Row],[Raw_Material_Used_kg]]="",tblClean[[#This Row],[Standard_Material_kg]]=""),"",tblClean[[#This Row],[Raw_Material_Used_kg]]-tblClean[[#This Row],[Standard_Material_kg]])</f>
        <v>9.0000000000003411E-2</v>
      </c>
      <c r="U5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3474.04</v>
      </c>
      <c r="V5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3.3340115163147792</v>
      </c>
    </row>
    <row r="60" spans="1:22">
      <c r="A60" t="s">
        <v>103</v>
      </c>
      <c r="B60" s="5">
        <v>46276</v>
      </c>
      <c r="C60" t="s">
        <v>45</v>
      </c>
      <c r="D60" t="s">
        <v>46</v>
      </c>
      <c r="E60" t="s">
        <v>38</v>
      </c>
      <c r="F60" t="s">
        <v>34</v>
      </c>
      <c r="G60">
        <v>900</v>
      </c>
      <c r="H60">
        <v>854</v>
      </c>
      <c r="I60">
        <v>12</v>
      </c>
      <c r="J60" s="6">
        <v>99.78</v>
      </c>
      <c r="K60" s="6">
        <v>87.19</v>
      </c>
      <c r="L60">
        <v>10</v>
      </c>
      <c r="M60" s="7">
        <v>3691.86</v>
      </c>
      <c r="N60" s="7">
        <v>300</v>
      </c>
      <c r="O60" s="7">
        <v>300</v>
      </c>
      <c r="P60" s="13" t="str">
        <f>IF(OR(tblClean[[#This Row],[Shift]]="",tblClean[[#This Row],[Actual_Units]]="",tblClean[[#This Row],[Raw_Material_Used_kg]]=""),"Review","OK")</f>
        <v>OK</v>
      </c>
      <c r="Q60" s="14">
        <f>IFERROR(tblClean[[#This Row],[Actual_Units]]/tblClean[[#This Row],[Planned_Units]],"")</f>
        <v>0.94888888888888889</v>
      </c>
      <c r="R60">
        <f>IF(OR(tblClean[[#This Row],[Actual_Units]]="",tblClean[[#This Row],[Planned_Units]]=""),"",tblClean[[#This Row],[Actual_Units]]-tblClean[[#This Row],[Planned_Units]])</f>
        <v>-46</v>
      </c>
      <c r="S60" s="14">
        <f>IFERROR(tblClean[[#This Row],[Defective_Units]]/tblClean[[#This Row],[Actual_Units]],"")</f>
        <v>1.405152224824356E-2</v>
      </c>
      <c r="T60" s="6">
        <f>IF(OR(tblClean[[#This Row],[Raw_Material_Used_kg]]="",tblClean[[#This Row],[Standard_Material_kg]]=""),"",tblClean[[#This Row],[Raw_Material_Used_kg]]-tblClean[[#This Row],[Standard_Material_kg]])</f>
        <v>12.590000000000003</v>
      </c>
      <c r="U6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4291.8600000000006</v>
      </c>
      <c r="V6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5.0972209026128272</v>
      </c>
    </row>
    <row r="61" spans="1:22">
      <c r="A61" t="s">
        <v>104</v>
      </c>
      <c r="B61" s="5">
        <v>46289</v>
      </c>
      <c r="C61" t="s">
        <v>36</v>
      </c>
      <c r="D61" t="s">
        <v>37</v>
      </c>
      <c r="E61" t="s">
        <v>43</v>
      </c>
      <c r="F61" t="s">
        <v>34</v>
      </c>
      <c r="G61">
        <v>1300</v>
      </c>
      <c r="H61">
        <v>1010</v>
      </c>
      <c r="I61">
        <v>50</v>
      </c>
      <c r="J61" s="6">
        <v>81.25</v>
      </c>
      <c r="K61" s="6">
        <v>131.22999999999999</v>
      </c>
      <c r="L61">
        <v>20</v>
      </c>
      <c r="M61" s="7">
        <v>3250</v>
      </c>
      <c r="N61" s="7">
        <v>450</v>
      </c>
      <c r="O61" s="7">
        <v>225</v>
      </c>
      <c r="P61" s="13" t="str">
        <f>IF(OR(tblClean[[#This Row],[Shift]]="",tblClean[[#This Row],[Actual_Units]]="",tblClean[[#This Row],[Raw_Material_Used_kg]]=""),"Review","OK")</f>
        <v>OK</v>
      </c>
      <c r="Q61" s="14">
        <f>IFERROR(tblClean[[#This Row],[Actual_Units]]/tblClean[[#This Row],[Planned_Units]],"")</f>
        <v>0.77692307692307694</v>
      </c>
      <c r="R61">
        <f>IF(OR(tblClean[[#This Row],[Actual_Units]]="",tblClean[[#This Row],[Planned_Units]]=""),"",tblClean[[#This Row],[Actual_Units]]-tblClean[[#This Row],[Planned_Units]])</f>
        <v>-290</v>
      </c>
      <c r="S61" s="14">
        <f>IFERROR(tblClean[[#This Row],[Defective_Units]]/tblClean[[#This Row],[Actual_Units]],"")</f>
        <v>4.9504950495049507E-2</v>
      </c>
      <c r="T61" s="6">
        <f>IF(OR(tblClean[[#This Row],[Raw_Material_Used_kg]]="",tblClean[[#This Row],[Standard_Material_kg]]=""),"",tblClean[[#This Row],[Raw_Material_Used_kg]]-tblClean[[#This Row],[Standard_Material_kg]])</f>
        <v>-49.97999999999999</v>
      </c>
      <c r="U6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3925</v>
      </c>
      <c r="V6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4.088541666666667</v>
      </c>
    </row>
    <row r="62" spans="1:22">
      <c r="A62" t="s">
        <v>105</v>
      </c>
      <c r="B62" s="5">
        <v>46289</v>
      </c>
      <c r="C62" t="s">
        <v>48</v>
      </c>
      <c r="D62" t="s">
        <v>49</v>
      </c>
      <c r="E62" t="s">
        <v>38</v>
      </c>
      <c r="F62" t="s">
        <v>34</v>
      </c>
      <c r="G62">
        <v>800</v>
      </c>
      <c r="H62">
        <v>772</v>
      </c>
      <c r="I62">
        <v>18</v>
      </c>
      <c r="J62" s="6">
        <v>87.87</v>
      </c>
      <c r="K62" s="6">
        <v>80.63</v>
      </c>
      <c r="L62">
        <v>10</v>
      </c>
      <c r="M62" s="7">
        <v>3251.19</v>
      </c>
      <c r="N62" s="7">
        <v>500</v>
      </c>
      <c r="O62" s="7">
        <v>300</v>
      </c>
      <c r="P62" s="13" t="str">
        <f>IF(OR(tblClean[[#This Row],[Shift]]="",tblClean[[#This Row],[Actual_Units]]="",tblClean[[#This Row],[Raw_Material_Used_kg]]=""),"Review","OK")</f>
        <v>OK</v>
      </c>
      <c r="Q62" s="14">
        <f>IFERROR(tblClean[[#This Row],[Actual_Units]]/tblClean[[#This Row],[Planned_Units]],"")</f>
        <v>0.96499999999999997</v>
      </c>
      <c r="R62">
        <f>IF(OR(tblClean[[#This Row],[Actual_Units]]="",tblClean[[#This Row],[Planned_Units]]=""),"",tblClean[[#This Row],[Actual_Units]]-tblClean[[#This Row],[Planned_Units]])</f>
        <v>-28</v>
      </c>
      <c r="S62" s="14">
        <f>IFERROR(tblClean[[#This Row],[Defective_Units]]/tblClean[[#This Row],[Actual_Units]],"")</f>
        <v>2.3316062176165803E-2</v>
      </c>
      <c r="T62" s="6">
        <f>IF(OR(tblClean[[#This Row],[Raw_Material_Used_kg]]="",tblClean[[#This Row],[Standard_Material_kg]]=""),"",tblClean[[#This Row],[Raw_Material_Used_kg]]-tblClean[[#This Row],[Standard_Material_kg]])</f>
        <v>7.2400000000000091</v>
      </c>
      <c r="U6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4051.19</v>
      </c>
      <c r="V6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5.3729310344827583</v>
      </c>
    </row>
    <row r="63" spans="1:22">
      <c r="A63" t="s">
        <v>106</v>
      </c>
      <c r="B63" s="5">
        <v>46272</v>
      </c>
      <c r="C63" t="s">
        <v>48</v>
      </c>
      <c r="D63" t="s">
        <v>49</v>
      </c>
      <c r="E63" t="s">
        <v>38</v>
      </c>
      <c r="F63" t="s">
        <v>34</v>
      </c>
      <c r="G63">
        <v>1300</v>
      </c>
      <c r="H63">
        <v>1188</v>
      </c>
      <c r="I63">
        <v>49</v>
      </c>
      <c r="J63" s="6">
        <v>151.24</v>
      </c>
      <c r="K63" s="6">
        <v>142.52000000000001</v>
      </c>
      <c r="L63">
        <v>45</v>
      </c>
      <c r="M63" s="7">
        <v>4688.4399999999996</v>
      </c>
      <c r="N63" s="7">
        <v>350</v>
      </c>
      <c r="O63" s="7">
        <v>180</v>
      </c>
      <c r="P63" s="13" t="str">
        <f>IF(OR(tblClean[[#This Row],[Shift]]="",tblClean[[#This Row],[Actual_Units]]="",tblClean[[#This Row],[Raw_Material_Used_kg]]=""),"Review","OK")</f>
        <v>OK</v>
      </c>
      <c r="Q63" s="14">
        <f>IFERROR(tblClean[[#This Row],[Actual_Units]]/tblClean[[#This Row],[Planned_Units]],"")</f>
        <v>0.91384615384615386</v>
      </c>
      <c r="R63">
        <f>IF(OR(tblClean[[#This Row],[Actual_Units]]="",tblClean[[#This Row],[Planned_Units]]=""),"",tblClean[[#This Row],[Actual_Units]]-tblClean[[#This Row],[Planned_Units]])</f>
        <v>-112</v>
      </c>
      <c r="S63" s="14">
        <f>IFERROR(tblClean[[#This Row],[Defective_Units]]/tblClean[[#This Row],[Actual_Units]],"")</f>
        <v>4.1245791245791245E-2</v>
      </c>
      <c r="T63" s="6">
        <f>IF(OR(tblClean[[#This Row],[Raw_Material_Used_kg]]="",tblClean[[#This Row],[Standard_Material_kg]]=""),"",tblClean[[#This Row],[Raw_Material_Used_kg]]-tblClean[[#This Row],[Standard_Material_kg]])</f>
        <v>8.7199999999999989</v>
      </c>
      <c r="U6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5218.4399999999996</v>
      </c>
      <c r="V6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4.5815978928884986</v>
      </c>
    </row>
    <row r="64" spans="1:22">
      <c r="A64" t="s">
        <v>107</v>
      </c>
      <c r="B64" s="5">
        <v>46270</v>
      </c>
      <c r="C64" t="s">
        <v>48</v>
      </c>
      <c r="D64" t="s">
        <v>49</v>
      </c>
      <c r="E64" t="s">
        <v>33</v>
      </c>
      <c r="F64" t="s">
        <v>34</v>
      </c>
      <c r="G64">
        <v>1300</v>
      </c>
      <c r="H64">
        <v>1038</v>
      </c>
      <c r="I64">
        <v>25</v>
      </c>
      <c r="J64" s="6">
        <v>83.27</v>
      </c>
      <c r="K64" s="6">
        <v>135.96</v>
      </c>
      <c r="L64">
        <v>5</v>
      </c>
      <c r="M64" s="7">
        <v>3080.99</v>
      </c>
      <c r="N64" s="7">
        <v>500</v>
      </c>
      <c r="O64" s="7">
        <v>180</v>
      </c>
      <c r="P64" s="13" t="str">
        <f>IF(OR(tblClean[[#This Row],[Shift]]="",tblClean[[#This Row],[Actual_Units]]="",tblClean[[#This Row],[Raw_Material_Used_kg]]=""),"Review","OK")</f>
        <v>OK</v>
      </c>
      <c r="Q64" s="14">
        <f>IFERROR(tblClean[[#This Row],[Actual_Units]]/tblClean[[#This Row],[Planned_Units]],"")</f>
        <v>0.79846153846153844</v>
      </c>
      <c r="R64">
        <f>IF(OR(tblClean[[#This Row],[Actual_Units]]="",tblClean[[#This Row],[Planned_Units]]=""),"",tblClean[[#This Row],[Actual_Units]]-tblClean[[#This Row],[Planned_Units]])</f>
        <v>-262</v>
      </c>
      <c r="S64" s="14">
        <f>IFERROR(tblClean[[#This Row],[Defective_Units]]/tblClean[[#This Row],[Actual_Units]],"")</f>
        <v>2.4084778420038536E-2</v>
      </c>
      <c r="T64" s="6">
        <f>IF(OR(tblClean[[#This Row],[Raw_Material_Used_kg]]="",tblClean[[#This Row],[Standard_Material_kg]]=""),"",tblClean[[#This Row],[Raw_Material_Used_kg]]-tblClean[[#This Row],[Standard_Material_kg]])</f>
        <v>-52.690000000000012</v>
      </c>
      <c r="U6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3760.99</v>
      </c>
      <c r="V6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3.7127245804540965</v>
      </c>
    </row>
    <row r="65" spans="1:22">
      <c r="A65" t="s">
        <v>108</v>
      </c>
      <c r="B65" s="5">
        <v>46278</v>
      </c>
      <c r="C65" t="s">
        <v>45</v>
      </c>
      <c r="D65" t="s">
        <v>46</v>
      </c>
      <c r="E65" t="s">
        <v>38</v>
      </c>
      <c r="F65" t="s">
        <v>34</v>
      </c>
      <c r="G65">
        <v>1100</v>
      </c>
      <c r="H65">
        <v>1185</v>
      </c>
      <c r="I65">
        <v>49</v>
      </c>
      <c r="J65" s="6">
        <v>151.96</v>
      </c>
      <c r="K65" s="6">
        <v>97.16</v>
      </c>
      <c r="L65">
        <v>15</v>
      </c>
      <c r="M65" s="7">
        <v>6078.4</v>
      </c>
      <c r="N65" s="7">
        <v>350</v>
      </c>
      <c r="O65" s="7">
        <v>275</v>
      </c>
      <c r="P65" s="13" t="str">
        <f>IF(OR(tblClean[[#This Row],[Shift]]="",tblClean[[#This Row],[Actual_Units]]="",tblClean[[#This Row],[Raw_Material_Used_kg]]=""),"Review","OK")</f>
        <v>OK</v>
      </c>
      <c r="Q65" s="14">
        <f>IFERROR(tblClean[[#This Row],[Actual_Units]]/tblClean[[#This Row],[Planned_Units]],"")</f>
        <v>1.0772727272727274</v>
      </c>
      <c r="R65">
        <f>IF(OR(tblClean[[#This Row],[Actual_Units]]="",tblClean[[#This Row],[Planned_Units]]=""),"",tblClean[[#This Row],[Actual_Units]]-tblClean[[#This Row],[Planned_Units]])</f>
        <v>85</v>
      </c>
      <c r="S65" s="14">
        <f>IFERROR(tblClean[[#This Row],[Defective_Units]]/tblClean[[#This Row],[Actual_Units]],"")</f>
        <v>4.1350210970464138E-2</v>
      </c>
      <c r="T65" s="6">
        <f>IF(OR(tblClean[[#This Row],[Raw_Material_Used_kg]]="",tblClean[[#This Row],[Standard_Material_kg]]=""),"",tblClean[[#This Row],[Raw_Material_Used_kg]]-tblClean[[#This Row],[Standard_Material_kg]])</f>
        <v>54.800000000000011</v>
      </c>
      <c r="U6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6703.4</v>
      </c>
      <c r="V6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5.9008802816901404</v>
      </c>
    </row>
    <row r="66" spans="1:22">
      <c r="A66" t="s">
        <v>109</v>
      </c>
      <c r="B66" s="5">
        <v>46282</v>
      </c>
      <c r="C66" t="s">
        <v>31</v>
      </c>
      <c r="D66" t="s">
        <v>32</v>
      </c>
      <c r="E66" t="s">
        <v>33</v>
      </c>
      <c r="F66" t="s">
        <v>41</v>
      </c>
      <c r="G66">
        <v>1300</v>
      </c>
      <c r="H66">
        <v>1299</v>
      </c>
      <c r="I66">
        <v>37</v>
      </c>
      <c r="J66" s="6">
        <v>151.86000000000001</v>
      </c>
      <c r="K66" s="6">
        <v>125.39</v>
      </c>
      <c r="L66">
        <v>75</v>
      </c>
      <c r="M66" s="7">
        <v>4707.66</v>
      </c>
      <c r="N66" s="7">
        <v>300</v>
      </c>
      <c r="O66" s="7">
        <v>225</v>
      </c>
      <c r="P66" s="13" t="str">
        <f>IF(OR(tblClean[[#This Row],[Shift]]="",tblClean[[#This Row],[Actual_Units]]="",tblClean[[#This Row],[Raw_Material_Used_kg]]=""),"Review","OK")</f>
        <v>OK</v>
      </c>
      <c r="Q66" s="14">
        <f>IFERROR(tblClean[[#This Row],[Actual_Units]]/tblClean[[#This Row],[Planned_Units]],"")</f>
        <v>0.99923076923076926</v>
      </c>
      <c r="R66">
        <f>IF(OR(tblClean[[#This Row],[Actual_Units]]="",tblClean[[#This Row],[Planned_Units]]=""),"",tblClean[[#This Row],[Actual_Units]]-tblClean[[#This Row],[Planned_Units]])</f>
        <v>-1</v>
      </c>
      <c r="S66" s="14">
        <f>IFERROR(tblClean[[#This Row],[Defective_Units]]/tblClean[[#This Row],[Actual_Units]],"")</f>
        <v>2.848344880677444E-2</v>
      </c>
      <c r="T66" s="6">
        <f>IF(OR(tblClean[[#This Row],[Raw_Material_Used_kg]]="",tblClean[[#This Row],[Standard_Material_kg]]=""),"",tblClean[[#This Row],[Raw_Material_Used_kg]]-tblClean[[#This Row],[Standard_Material_kg]])</f>
        <v>26.470000000000013</v>
      </c>
      <c r="U6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5232.66</v>
      </c>
      <c r="V6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4.1463232963549919</v>
      </c>
    </row>
    <row r="67" spans="1:22">
      <c r="A67" t="s">
        <v>110</v>
      </c>
      <c r="B67" s="5">
        <v>46266</v>
      </c>
      <c r="C67" t="s">
        <v>45</v>
      </c>
      <c r="D67" t="s">
        <v>46</v>
      </c>
      <c r="E67" t="s">
        <v>43</v>
      </c>
      <c r="F67" t="s">
        <v>39</v>
      </c>
      <c r="G67">
        <v>800</v>
      </c>
      <c r="H67">
        <v>757</v>
      </c>
      <c r="I67">
        <v>32</v>
      </c>
      <c r="J67" s="6">
        <v>87.26</v>
      </c>
      <c r="K67" s="6">
        <v>65.03</v>
      </c>
      <c r="L67">
        <v>15</v>
      </c>
      <c r="M67" s="7">
        <v>2705.06</v>
      </c>
      <c r="N67" s="7">
        <v>300</v>
      </c>
      <c r="O67" s="7">
        <v>250</v>
      </c>
      <c r="P67" s="13" t="str">
        <f>IF(OR(tblClean[[#This Row],[Shift]]="",tblClean[[#This Row],[Actual_Units]]="",tblClean[[#This Row],[Raw_Material_Used_kg]]=""),"Review","OK")</f>
        <v>OK</v>
      </c>
      <c r="Q67" s="14">
        <f>IFERROR(tblClean[[#This Row],[Actual_Units]]/tblClean[[#This Row],[Planned_Units]],"")</f>
        <v>0.94625000000000004</v>
      </c>
      <c r="R67">
        <f>IF(OR(tblClean[[#This Row],[Actual_Units]]="",tblClean[[#This Row],[Planned_Units]]=""),"",tblClean[[#This Row],[Actual_Units]]-tblClean[[#This Row],[Planned_Units]])</f>
        <v>-43</v>
      </c>
      <c r="S67" s="14">
        <f>IFERROR(tblClean[[#This Row],[Defective_Units]]/tblClean[[#This Row],[Actual_Units]],"")</f>
        <v>4.2272126816380449E-2</v>
      </c>
      <c r="T67" s="6">
        <f>IF(OR(tblClean[[#This Row],[Raw_Material_Used_kg]]="",tblClean[[#This Row],[Standard_Material_kg]]=""),"",tblClean[[#This Row],[Raw_Material_Used_kg]]-tblClean[[#This Row],[Standard_Material_kg]])</f>
        <v>22.230000000000004</v>
      </c>
      <c r="U6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3255.06</v>
      </c>
      <c r="V6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4.4897379310344823</v>
      </c>
    </row>
    <row r="68" spans="1:22">
      <c r="A68" t="s">
        <v>111</v>
      </c>
      <c r="B68" s="5">
        <v>46289</v>
      </c>
      <c r="C68" t="s">
        <v>48</v>
      </c>
      <c r="D68" t="s">
        <v>49</v>
      </c>
      <c r="E68" t="s">
        <v>43</v>
      </c>
      <c r="F68" t="s">
        <v>41</v>
      </c>
      <c r="G68">
        <v>1300</v>
      </c>
      <c r="H68">
        <v>1034</v>
      </c>
      <c r="I68">
        <v>23</v>
      </c>
      <c r="J68" s="6">
        <v>95.6</v>
      </c>
      <c r="K68" s="6">
        <v>130.31</v>
      </c>
      <c r="L68">
        <v>30</v>
      </c>
      <c r="M68" s="7">
        <v>3250.4</v>
      </c>
      <c r="N68" s="7">
        <v>300</v>
      </c>
      <c r="O68" s="7">
        <v>200</v>
      </c>
      <c r="P68" s="13" t="str">
        <f>IF(OR(tblClean[[#This Row],[Shift]]="",tblClean[[#This Row],[Actual_Units]]="",tblClean[[#This Row],[Raw_Material_Used_kg]]=""),"Review","OK")</f>
        <v>OK</v>
      </c>
      <c r="Q68" s="14">
        <f>IFERROR(tblClean[[#This Row],[Actual_Units]]/tblClean[[#This Row],[Planned_Units]],"")</f>
        <v>0.79538461538461536</v>
      </c>
      <c r="R68">
        <f>IF(OR(tblClean[[#This Row],[Actual_Units]]="",tblClean[[#This Row],[Planned_Units]]=""),"",tblClean[[#This Row],[Actual_Units]]-tblClean[[#This Row],[Planned_Units]])</f>
        <v>-266</v>
      </c>
      <c r="S68" s="14">
        <f>IFERROR(tblClean[[#This Row],[Defective_Units]]/tblClean[[#This Row],[Actual_Units]],"")</f>
        <v>2.2243713733075435E-2</v>
      </c>
      <c r="T68" s="6">
        <f>IF(OR(tblClean[[#This Row],[Raw_Material_Used_kg]]="",tblClean[[#This Row],[Standard_Material_kg]]=""),"",tblClean[[#This Row],[Raw_Material_Used_kg]]-tblClean[[#This Row],[Standard_Material_kg]])</f>
        <v>-34.710000000000008</v>
      </c>
      <c r="U6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3750.4</v>
      </c>
      <c r="V6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3.7095944609297726</v>
      </c>
    </row>
    <row r="69" spans="1:22">
      <c r="A69" t="s">
        <v>112</v>
      </c>
      <c r="B69" s="5">
        <v>46295</v>
      </c>
      <c r="C69" t="s">
        <v>45</v>
      </c>
      <c r="D69" t="s">
        <v>46</v>
      </c>
      <c r="E69" t="s">
        <v>43</v>
      </c>
      <c r="F69" t="s">
        <v>39</v>
      </c>
      <c r="G69">
        <v>1100</v>
      </c>
      <c r="H69">
        <v>1103</v>
      </c>
      <c r="I69">
        <v>11</v>
      </c>
      <c r="J69" s="6">
        <v>90.84</v>
      </c>
      <c r="K69" s="6">
        <v>99.69</v>
      </c>
      <c r="L69">
        <v>45</v>
      </c>
      <c r="M69" s="7">
        <v>2543.52</v>
      </c>
      <c r="N69" s="7">
        <v>400</v>
      </c>
      <c r="O69" s="7">
        <v>200</v>
      </c>
      <c r="P69" s="13" t="str">
        <f>IF(OR(tblClean[[#This Row],[Shift]]="",tblClean[[#This Row],[Actual_Units]]="",tblClean[[#This Row],[Raw_Material_Used_kg]]=""),"Review","OK")</f>
        <v>OK</v>
      </c>
      <c r="Q69" s="14">
        <f>IFERROR(tblClean[[#This Row],[Actual_Units]]/tblClean[[#This Row],[Planned_Units]],"")</f>
        <v>1.0027272727272727</v>
      </c>
      <c r="R69">
        <f>IF(OR(tblClean[[#This Row],[Actual_Units]]="",tblClean[[#This Row],[Planned_Units]]=""),"",tblClean[[#This Row],[Actual_Units]]-tblClean[[#This Row],[Planned_Units]])</f>
        <v>3</v>
      </c>
      <c r="S69" s="14">
        <f>IFERROR(tblClean[[#This Row],[Defective_Units]]/tblClean[[#This Row],[Actual_Units]],"")</f>
        <v>9.9728014505893019E-3</v>
      </c>
      <c r="T69" s="6">
        <f>IF(OR(tblClean[[#This Row],[Raw_Material_Used_kg]]="",tblClean[[#This Row],[Standard_Material_kg]]=""),"",tblClean[[#This Row],[Raw_Material_Used_kg]]-tblClean[[#This Row],[Standard_Material_kg]])</f>
        <v>-8.8499999999999943</v>
      </c>
      <c r="U6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3143.52</v>
      </c>
      <c r="V6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2.8786813186813185</v>
      </c>
    </row>
    <row r="70" spans="1:22">
      <c r="A70" t="s">
        <v>113</v>
      </c>
      <c r="B70" s="5">
        <v>46277</v>
      </c>
      <c r="C70" t="s">
        <v>45</v>
      </c>
      <c r="D70" t="s">
        <v>46</v>
      </c>
      <c r="E70" t="s">
        <v>38</v>
      </c>
      <c r="F70" t="s">
        <v>41</v>
      </c>
      <c r="G70">
        <v>1000</v>
      </c>
      <c r="H70">
        <v>1034</v>
      </c>
      <c r="I70">
        <v>30</v>
      </c>
      <c r="J70" s="6">
        <v>105.76</v>
      </c>
      <c r="K70" s="6">
        <v>106.97</v>
      </c>
      <c r="L70">
        <v>20</v>
      </c>
      <c r="M70" s="7">
        <v>3913.12</v>
      </c>
      <c r="N70" s="7">
        <v>250</v>
      </c>
      <c r="O70" s="7">
        <v>300</v>
      </c>
      <c r="P70" s="13" t="str">
        <f>IF(OR(tblClean[[#This Row],[Shift]]="",tblClean[[#This Row],[Actual_Units]]="",tblClean[[#This Row],[Raw_Material_Used_kg]]=""),"Review","OK")</f>
        <v>OK</v>
      </c>
      <c r="Q70" s="14">
        <f>IFERROR(tblClean[[#This Row],[Actual_Units]]/tblClean[[#This Row],[Planned_Units]],"")</f>
        <v>1.034</v>
      </c>
      <c r="R70">
        <f>IF(OR(tblClean[[#This Row],[Actual_Units]]="",tblClean[[#This Row],[Planned_Units]]=""),"",tblClean[[#This Row],[Actual_Units]]-tblClean[[#This Row],[Planned_Units]])</f>
        <v>34</v>
      </c>
      <c r="S70" s="14">
        <f>IFERROR(tblClean[[#This Row],[Defective_Units]]/tblClean[[#This Row],[Actual_Units]],"")</f>
        <v>2.9013539651837523E-2</v>
      </c>
      <c r="T70" s="6">
        <f>IF(OR(tblClean[[#This Row],[Raw_Material_Used_kg]]="",tblClean[[#This Row],[Standard_Material_kg]]=""),"",tblClean[[#This Row],[Raw_Material_Used_kg]]-tblClean[[#This Row],[Standard_Material_kg]])</f>
        <v>-1.2099999999999937</v>
      </c>
      <c r="U7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4463.12</v>
      </c>
      <c r="V7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4.4453386454183264</v>
      </c>
    </row>
    <row r="71" spans="1:22">
      <c r="A71" t="s">
        <v>114</v>
      </c>
      <c r="B71" s="5">
        <v>46288</v>
      </c>
      <c r="C71" t="s">
        <v>48</v>
      </c>
      <c r="D71" t="s">
        <v>49</v>
      </c>
      <c r="E71" t="s">
        <v>38</v>
      </c>
      <c r="F71" t="s">
        <v>41</v>
      </c>
      <c r="G71">
        <v>1200</v>
      </c>
      <c r="H71">
        <v>1130</v>
      </c>
      <c r="I71">
        <v>36</v>
      </c>
      <c r="J71" s="6">
        <v>127.51</v>
      </c>
      <c r="K71" s="6">
        <v>108.2</v>
      </c>
      <c r="L71">
        <v>10</v>
      </c>
      <c r="M71" s="7">
        <v>3570.28</v>
      </c>
      <c r="N71" s="7">
        <v>250</v>
      </c>
      <c r="O71" s="7">
        <v>300</v>
      </c>
      <c r="P71" s="13" t="str">
        <f>IF(OR(tblClean[[#This Row],[Shift]]="",tblClean[[#This Row],[Actual_Units]]="",tblClean[[#This Row],[Raw_Material_Used_kg]]=""),"Review","OK")</f>
        <v>OK</v>
      </c>
      <c r="Q71" s="14">
        <f>IFERROR(tblClean[[#This Row],[Actual_Units]]/tblClean[[#This Row],[Planned_Units]],"")</f>
        <v>0.94166666666666665</v>
      </c>
      <c r="R71">
        <f>IF(OR(tblClean[[#This Row],[Actual_Units]]="",tblClean[[#This Row],[Planned_Units]]=""),"",tblClean[[#This Row],[Actual_Units]]-tblClean[[#This Row],[Planned_Units]])</f>
        <v>-70</v>
      </c>
      <c r="S71" s="14">
        <f>IFERROR(tblClean[[#This Row],[Defective_Units]]/tblClean[[#This Row],[Actual_Units]],"")</f>
        <v>3.1858407079646017E-2</v>
      </c>
      <c r="T71" s="6">
        <f>IF(OR(tblClean[[#This Row],[Raw_Material_Used_kg]]="",tblClean[[#This Row],[Standard_Material_kg]]=""),"",tblClean[[#This Row],[Raw_Material_Used_kg]]-tblClean[[#This Row],[Standard_Material_kg]])</f>
        <v>19.310000000000002</v>
      </c>
      <c r="U7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4120.2800000000007</v>
      </c>
      <c r="V7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3.7662522851919569</v>
      </c>
    </row>
    <row r="72" spans="1:22">
      <c r="A72" t="s">
        <v>115</v>
      </c>
      <c r="B72" s="5">
        <v>46272</v>
      </c>
      <c r="C72" t="s">
        <v>31</v>
      </c>
      <c r="D72" t="s">
        <v>32</v>
      </c>
      <c r="E72" t="s">
        <v>38</v>
      </c>
      <c r="F72" t="s">
        <v>34</v>
      </c>
      <c r="G72">
        <v>900</v>
      </c>
      <c r="H72">
        <v>760</v>
      </c>
      <c r="I72">
        <v>7</v>
      </c>
      <c r="J72" s="6">
        <v>79.91</v>
      </c>
      <c r="K72" s="6">
        <v>74.7</v>
      </c>
      <c r="L72">
        <v>20</v>
      </c>
      <c r="M72" s="7">
        <v>2956.67</v>
      </c>
      <c r="N72" s="7">
        <v>400</v>
      </c>
      <c r="O72" s="7">
        <v>180</v>
      </c>
      <c r="P72" s="13" t="str">
        <f>IF(OR(tblClean[[#This Row],[Shift]]="",tblClean[[#This Row],[Actual_Units]]="",tblClean[[#This Row],[Raw_Material_Used_kg]]=""),"Review","OK")</f>
        <v>OK</v>
      </c>
      <c r="Q72" s="14">
        <f>IFERROR(tblClean[[#This Row],[Actual_Units]]/tblClean[[#This Row],[Planned_Units]],"")</f>
        <v>0.84444444444444444</v>
      </c>
      <c r="R72">
        <f>IF(OR(tblClean[[#This Row],[Actual_Units]]="",tblClean[[#This Row],[Planned_Units]]=""),"",tblClean[[#This Row],[Actual_Units]]-tblClean[[#This Row],[Planned_Units]])</f>
        <v>-140</v>
      </c>
      <c r="S72" s="14">
        <f>IFERROR(tblClean[[#This Row],[Defective_Units]]/tblClean[[#This Row],[Actual_Units]],"")</f>
        <v>9.2105263157894728E-3</v>
      </c>
      <c r="T72" s="6">
        <f>IF(OR(tblClean[[#This Row],[Raw_Material_Used_kg]]="",tblClean[[#This Row],[Standard_Material_kg]]=""),"",tblClean[[#This Row],[Raw_Material_Used_kg]]-tblClean[[#This Row],[Standard_Material_kg]])</f>
        <v>5.2099999999999937</v>
      </c>
      <c r="U7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3536.67</v>
      </c>
      <c r="V7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4.6967729083665342</v>
      </c>
    </row>
    <row r="73" spans="1:22">
      <c r="A73" t="s">
        <v>116</v>
      </c>
      <c r="B73" s="5">
        <v>46274</v>
      </c>
      <c r="C73" t="s">
        <v>36</v>
      </c>
      <c r="D73" t="s">
        <v>37</v>
      </c>
      <c r="E73" t="s">
        <v>38</v>
      </c>
      <c r="F73" t="s">
        <v>41</v>
      </c>
      <c r="G73">
        <v>1200</v>
      </c>
      <c r="H73">
        <v>1131</v>
      </c>
      <c r="I73">
        <v>18</v>
      </c>
      <c r="J73" s="6">
        <v>143.72999999999999</v>
      </c>
      <c r="K73" s="6">
        <v>96.81</v>
      </c>
      <c r="L73">
        <v>5</v>
      </c>
      <c r="M73" s="7">
        <v>4024.44</v>
      </c>
      <c r="N73" s="7">
        <v>300</v>
      </c>
      <c r="O73" s="7">
        <v>275</v>
      </c>
      <c r="P73" s="13" t="str">
        <f>IF(OR(tblClean[[#This Row],[Shift]]="",tblClean[[#This Row],[Actual_Units]]="",tblClean[[#This Row],[Raw_Material_Used_kg]]=""),"Review","OK")</f>
        <v>OK</v>
      </c>
      <c r="Q73" s="14">
        <f>IFERROR(tblClean[[#This Row],[Actual_Units]]/tblClean[[#This Row],[Planned_Units]],"")</f>
        <v>0.9425</v>
      </c>
      <c r="R73">
        <f>IF(OR(tblClean[[#This Row],[Actual_Units]]="",tblClean[[#This Row],[Planned_Units]]=""),"",tblClean[[#This Row],[Actual_Units]]-tblClean[[#This Row],[Planned_Units]])</f>
        <v>-69</v>
      </c>
      <c r="S73" s="14">
        <f>IFERROR(tblClean[[#This Row],[Defective_Units]]/tblClean[[#This Row],[Actual_Units]],"")</f>
        <v>1.5915119363395226E-2</v>
      </c>
      <c r="T73" s="6">
        <f>IF(OR(tblClean[[#This Row],[Raw_Material_Used_kg]]="",tblClean[[#This Row],[Standard_Material_kg]]=""),"",tblClean[[#This Row],[Raw_Material_Used_kg]]-tblClean[[#This Row],[Standard_Material_kg]])</f>
        <v>46.919999999999987</v>
      </c>
      <c r="U7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4599.4400000000005</v>
      </c>
      <c r="V7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4.1324707996406111</v>
      </c>
    </row>
    <row r="74" spans="1:22">
      <c r="A74" t="s">
        <v>117</v>
      </c>
      <c r="B74" s="5">
        <v>46277</v>
      </c>
      <c r="C74" t="s">
        <v>48</v>
      </c>
      <c r="D74" t="s">
        <v>49</v>
      </c>
      <c r="E74" t="s">
        <v>33</v>
      </c>
      <c r="F74" t="s">
        <v>39</v>
      </c>
      <c r="G74">
        <v>800</v>
      </c>
      <c r="H74">
        <v>832</v>
      </c>
      <c r="I74">
        <v>24</v>
      </c>
      <c r="J74" s="6">
        <v>67.84</v>
      </c>
      <c r="K74" s="6">
        <v>82.61</v>
      </c>
      <c r="L74">
        <v>45</v>
      </c>
      <c r="M74" s="7">
        <v>1899.52</v>
      </c>
      <c r="N74" s="7">
        <v>300</v>
      </c>
      <c r="O74" s="7">
        <v>300</v>
      </c>
      <c r="P74" s="13" t="str">
        <f>IF(OR(tblClean[[#This Row],[Shift]]="",tblClean[[#This Row],[Actual_Units]]="",tblClean[[#This Row],[Raw_Material_Used_kg]]=""),"Review","OK")</f>
        <v>OK</v>
      </c>
      <c r="Q74" s="14">
        <f>IFERROR(tblClean[[#This Row],[Actual_Units]]/tblClean[[#This Row],[Planned_Units]],"")</f>
        <v>1.04</v>
      </c>
      <c r="R74">
        <f>IF(OR(tblClean[[#This Row],[Actual_Units]]="",tblClean[[#This Row],[Planned_Units]]=""),"",tblClean[[#This Row],[Actual_Units]]-tblClean[[#This Row],[Planned_Units]])</f>
        <v>32</v>
      </c>
      <c r="S74" s="14">
        <f>IFERROR(tblClean[[#This Row],[Defective_Units]]/tblClean[[#This Row],[Actual_Units]],"")</f>
        <v>2.8846153846153848E-2</v>
      </c>
      <c r="T74" s="6">
        <f>IF(OR(tblClean[[#This Row],[Raw_Material_Used_kg]]="",tblClean[[#This Row],[Standard_Material_kg]]=""),"",tblClean[[#This Row],[Raw_Material_Used_kg]]-tblClean[[#This Row],[Standard_Material_kg]])</f>
        <v>-14.769999999999996</v>
      </c>
      <c r="U7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2499.52</v>
      </c>
      <c r="V7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3.0934653465346535</v>
      </c>
    </row>
    <row r="75" spans="1:22">
      <c r="A75" t="s">
        <v>118</v>
      </c>
      <c r="B75" s="5">
        <v>46268</v>
      </c>
      <c r="C75" t="s">
        <v>36</v>
      </c>
      <c r="D75" t="s">
        <v>37</v>
      </c>
      <c r="E75" t="s">
        <v>33</v>
      </c>
      <c r="F75" t="s">
        <v>39</v>
      </c>
      <c r="G75">
        <v>1100</v>
      </c>
      <c r="H75">
        <v>955</v>
      </c>
      <c r="I75">
        <v>14</v>
      </c>
      <c r="J75" s="6">
        <v>75.7</v>
      </c>
      <c r="K75" s="6">
        <v>112.21</v>
      </c>
      <c r="L75">
        <v>75</v>
      </c>
      <c r="M75" s="7">
        <v>2346.6999999999998</v>
      </c>
      <c r="N75" s="7">
        <v>400</v>
      </c>
      <c r="O75" s="7">
        <v>200</v>
      </c>
      <c r="P75" s="13" t="str">
        <f>IF(OR(tblClean[[#This Row],[Shift]]="",tblClean[[#This Row],[Actual_Units]]="",tblClean[[#This Row],[Raw_Material_Used_kg]]=""),"Review","OK")</f>
        <v>OK</v>
      </c>
      <c r="Q75" s="14">
        <f>IFERROR(tblClean[[#This Row],[Actual_Units]]/tblClean[[#This Row],[Planned_Units]],"")</f>
        <v>0.86818181818181817</v>
      </c>
      <c r="R75">
        <f>IF(OR(tblClean[[#This Row],[Actual_Units]]="",tblClean[[#This Row],[Planned_Units]]=""),"",tblClean[[#This Row],[Actual_Units]]-tblClean[[#This Row],[Planned_Units]])</f>
        <v>-145</v>
      </c>
      <c r="S75" s="14">
        <f>IFERROR(tblClean[[#This Row],[Defective_Units]]/tblClean[[#This Row],[Actual_Units]],"")</f>
        <v>1.4659685863874346E-2</v>
      </c>
      <c r="T75" s="6">
        <f>IF(OR(tblClean[[#This Row],[Raw_Material_Used_kg]]="",tblClean[[#This Row],[Standard_Material_kg]]=""),"",tblClean[[#This Row],[Raw_Material_Used_kg]]-tblClean[[#This Row],[Standard_Material_kg]])</f>
        <v>-36.509999999999991</v>
      </c>
      <c r="U7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2946.7</v>
      </c>
      <c r="V7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3.1314558979808713</v>
      </c>
    </row>
    <row r="76" spans="1:22">
      <c r="A76" t="s">
        <v>119</v>
      </c>
      <c r="B76" s="5">
        <v>46288</v>
      </c>
      <c r="C76" t="s">
        <v>45</v>
      </c>
      <c r="D76" t="s">
        <v>46</v>
      </c>
      <c r="E76" t="s">
        <v>38</v>
      </c>
      <c r="F76" t="s">
        <v>34</v>
      </c>
      <c r="G76">
        <v>1200</v>
      </c>
      <c r="H76">
        <v>1130</v>
      </c>
      <c r="I76">
        <v>20</v>
      </c>
      <c r="J76" s="6">
        <v>88.45</v>
      </c>
      <c r="K76" s="6">
        <v>107.82</v>
      </c>
      <c r="L76">
        <v>60</v>
      </c>
      <c r="M76" s="7">
        <v>2741.95</v>
      </c>
      <c r="N76" s="7">
        <v>450</v>
      </c>
      <c r="O76" s="7">
        <v>300</v>
      </c>
      <c r="P76" s="13" t="str">
        <f>IF(OR(tblClean[[#This Row],[Shift]]="",tblClean[[#This Row],[Actual_Units]]="",tblClean[[#This Row],[Raw_Material_Used_kg]]=""),"Review","OK")</f>
        <v>OK</v>
      </c>
      <c r="Q76" s="14">
        <f>IFERROR(tblClean[[#This Row],[Actual_Units]]/tblClean[[#This Row],[Planned_Units]],"")</f>
        <v>0.94166666666666665</v>
      </c>
      <c r="R76">
        <f>IF(OR(tblClean[[#This Row],[Actual_Units]]="",tblClean[[#This Row],[Planned_Units]]=""),"",tblClean[[#This Row],[Actual_Units]]-tblClean[[#This Row],[Planned_Units]])</f>
        <v>-70</v>
      </c>
      <c r="S76" s="14">
        <f>IFERROR(tblClean[[#This Row],[Defective_Units]]/tblClean[[#This Row],[Actual_Units]],"")</f>
        <v>1.7699115044247787E-2</v>
      </c>
      <c r="T76" s="6">
        <f>IF(OR(tblClean[[#This Row],[Raw_Material_Used_kg]]="",tblClean[[#This Row],[Standard_Material_kg]]=""),"",tblClean[[#This Row],[Raw_Material_Used_kg]]-tblClean[[#This Row],[Standard_Material_kg]])</f>
        <v>-19.36999999999999</v>
      </c>
      <c r="U7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3491.95</v>
      </c>
      <c r="V7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3.1459009009009007</v>
      </c>
    </row>
    <row r="77" spans="1:22">
      <c r="A77" t="s">
        <v>120</v>
      </c>
      <c r="B77" s="5">
        <v>46271</v>
      </c>
      <c r="C77" t="s">
        <v>36</v>
      </c>
      <c r="D77" t="s">
        <v>37</v>
      </c>
      <c r="E77" t="s">
        <v>33</v>
      </c>
      <c r="F77" t="s">
        <v>39</v>
      </c>
      <c r="G77">
        <v>1200</v>
      </c>
      <c r="H77">
        <v>1203</v>
      </c>
      <c r="I77">
        <v>20</v>
      </c>
      <c r="J77" s="6">
        <v>131.03</v>
      </c>
      <c r="K77" s="6">
        <v>114.8</v>
      </c>
      <c r="L77">
        <v>10</v>
      </c>
      <c r="M77" s="7">
        <v>4061.93</v>
      </c>
      <c r="N77" s="7">
        <v>400</v>
      </c>
      <c r="O77" s="7">
        <v>275</v>
      </c>
      <c r="P77" s="13" t="str">
        <f>IF(OR(tblClean[[#This Row],[Shift]]="",tblClean[[#This Row],[Actual_Units]]="",tblClean[[#This Row],[Raw_Material_Used_kg]]=""),"Review","OK")</f>
        <v>OK</v>
      </c>
      <c r="Q77" s="14">
        <f>IFERROR(tblClean[[#This Row],[Actual_Units]]/tblClean[[#This Row],[Planned_Units]],"")</f>
        <v>1.0024999999999999</v>
      </c>
      <c r="R77">
        <f>IF(OR(tblClean[[#This Row],[Actual_Units]]="",tblClean[[#This Row],[Planned_Units]]=""),"",tblClean[[#This Row],[Actual_Units]]-tblClean[[#This Row],[Planned_Units]])</f>
        <v>3</v>
      </c>
      <c r="S77" s="14">
        <f>IFERROR(tblClean[[#This Row],[Defective_Units]]/tblClean[[#This Row],[Actual_Units]],"")</f>
        <v>1.6625103906899419E-2</v>
      </c>
      <c r="T77" s="6">
        <f>IF(OR(tblClean[[#This Row],[Raw_Material_Used_kg]]="",tblClean[[#This Row],[Standard_Material_kg]]=""),"",tblClean[[#This Row],[Raw_Material_Used_kg]]-tblClean[[#This Row],[Standard_Material_kg]])</f>
        <v>16.230000000000004</v>
      </c>
      <c r="U7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4736.93</v>
      </c>
      <c r="V7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4.004167371090448</v>
      </c>
    </row>
    <row r="78" spans="1:22">
      <c r="A78" t="s">
        <v>121</v>
      </c>
      <c r="B78" s="5">
        <v>46270</v>
      </c>
      <c r="C78" t="s">
        <v>36</v>
      </c>
      <c r="D78" t="s">
        <v>37</v>
      </c>
      <c r="E78" t="s">
        <v>38</v>
      </c>
      <c r="F78" t="s">
        <v>39</v>
      </c>
      <c r="G78">
        <v>1300</v>
      </c>
      <c r="H78">
        <v>1195</v>
      </c>
      <c r="I78">
        <v>53</v>
      </c>
      <c r="J78" s="6">
        <v>146.49</v>
      </c>
      <c r="K78" s="6">
        <v>106.38</v>
      </c>
      <c r="L78">
        <v>0</v>
      </c>
      <c r="M78" s="7">
        <v>5420.13</v>
      </c>
      <c r="N78" s="7">
        <v>500</v>
      </c>
      <c r="O78" s="7">
        <v>180</v>
      </c>
      <c r="P78" s="13" t="str">
        <f>IF(OR(tblClean[[#This Row],[Shift]]="",tblClean[[#This Row],[Actual_Units]]="",tblClean[[#This Row],[Raw_Material_Used_kg]]=""),"Review","OK")</f>
        <v>OK</v>
      </c>
      <c r="Q78" s="14">
        <f>IFERROR(tblClean[[#This Row],[Actual_Units]]/tblClean[[#This Row],[Planned_Units]],"")</f>
        <v>0.91923076923076918</v>
      </c>
      <c r="R78">
        <f>IF(OR(tblClean[[#This Row],[Actual_Units]]="",tblClean[[#This Row],[Planned_Units]]=""),"",tblClean[[#This Row],[Actual_Units]]-tblClean[[#This Row],[Planned_Units]])</f>
        <v>-105</v>
      </c>
      <c r="S78" s="14">
        <f>IFERROR(tblClean[[#This Row],[Defective_Units]]/tblClean[[#This Row],[Actual_Units]],"")</f>
        <v>4.4351464435146447E-2</v>
      </c>
      <c r="T78" s="6">
        <f>IF(OR(tblClean[[#This Row],[Raw_Material_Used_kg]]="",tblClean[[#This Row],[Standard_Material_kg]]=""),"",tblClean[[#This Row],[Raw_Material_Used_kg]]-tblClean[[#This Row],[Standard_Material_kg]])</f>
        <v>40.110000000000014</v>
      </c>
      <c r="U7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6100.13</v>
      </c>
      <c r="V7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5.3416199649737308</v>
      </c>
    </row>
    <row r="79" spans="1:22">
      <c r="A79" t="s">
        <v>122</v>
      </c>
      <c r="B79" s="5">
        <v>46277</v>
      </c>
      <c r="C79" t="s">
        <v>36</v>
      </c>
      <c r="D79" t="s">
        <v>37</v>
      </c>
      <c r="E79" t="s">
        <v>43</v>
      </c>
      <c r="F79" t="s">
        <v>41</v>
      </c>
      <c r="G79">
        <v>800</v>
      </c>
      <c r="H79">
        <v>671</v>
      </c>
      <c r="I79">
        <v>4</v>
      </c>
      <c r="J79" s="6">
        <v>73.47</v>
      </c>
      <c r="K79" s="6">
        <v>85.6</v>
      </c>
      <c r="L79">
        <v>5</v>
      </c>
      <c r="M79" s="7">
        <v>2277.5700000000002</v>
      </c>
      <c r="N79" s="7">
        <v>350</v>
      </c>
      <c r="O79" s="7">
        <v>275</v>
      </c>
      <c r="P79" s="13" t="str">
        <f>IF(OR(tblClean[[#This Row],[Shift]]="",tblClean[[#This Row],[Actual_Units]]="",tblClean[[#This Row],[Raw_Material_Used_kg]]=""),"Review","OK")</f>
        <v>OK</v>
      </c>
      <c r="Q79" s="14">
        <f>IFERROR(tblClean[[#This Row],[Actual_Units]]/tblClean[[#This Row],[Planned_Units]],"")</f>
        <v>0.83875</v>
      </c>
      <c r="R79">
        <f>IF(OR(tblClean[[#This Row],[Actual_Units]]="",tblClean[[#This Row],[Planned_Units]]=""),"",tblClean[[#This Row],[Actual_Units]]-tblClean[[#This Row],[Planned_Units]])</f>
        <v>-129</v>
      </c>
      <c r="S79" s="14">
        <f>IFERROR(tblClean[[#This Row],[Defective_Units]]/tblClean[[#This Row],[Actual_Units]],"")</f>
        <v>5.9612518628912071E-3</v>
      </c>
      <c r="T79" s="6">
        <f>IF(OR(tblClean[[#This Row],[Raw_Material_Used_kg]]="",tblClean[[#This Row],[Standard_Material_kg]]=""),"",tblClean[[#This Row],[Raw_Material_Used_kg]]-tblClean[[#This Row],[Standard_Material_kg]])</f>
        <v>-12.129999999999995</v>
      </c>
      <c r="U7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2902.57</v>
      </c>
      <c r="V7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4.3516791604197902</v>
      </c>
    </row>
    <row r="80" spans="1:22">
      <c r="A80" t="s">
        <v>123</v>
      </c>
      <c r="B80" s="5">
        <v>46281</v>
      </c>
      <c r="C80" t="s">
        <v>48</v>
      </c>
      <c r="D80" t="s">
        <v>49</v>
      </c>
      <c r="E80" t="s">
        <v>33</v>
      </c>
      <c r="F80" t="s">
        <v>41</v>
      </c>
      <c r="G80">
        <v>900</v>
      </c>
      <c r="H80">
        <v>739</v>
      </c>
      <c r="I80">
        <v>15</v>
      </c>
      <c r="J80" s="6">
        <v>73.959999999999994</v>
      </c>
      <c r="K80" s="6">
        <v>84.07</v>
      </c>
      <c r="L80">
        <v>75</v>
      </c>
      <c r="M80" s="7">
        <v>2514.64</v>
      </c>
      <c r="N80" s="7">
        <v>400</v>
      </c>
      <c r="O80" s="7">
        <v>300</v>
      </c>
      <c r="P80" s="13" t="str">
        <f>IF(OR(tblClean[[#This Row],[Shift]]="",tblClean[[#This Row],[Actual_Units]]="",tblClean[[#This Row],[Raw_Material_Used_kg]]=""),"Review","OK")</f>
        <v>OK</v>
      </c>
      <c r="Q80" s="14">
        <f>IFERROR(tblClean[[#This Row],[Actual_Units]]/tblClean[[#This Row],[Planned_Units]],"")</f>
        <v>0.82111111111111112</v>
      </c>
      <c r="R80">
        <f>IF(OR(tblClean[[#This Row],[Actual_Units]]="",tblClean[[#This Row],[Planned_Units]]=""),"",tblClean[[#This Row],[Actual_Units]]-tblClean[[#This Row],[Planned_Units]])</f>
        <v>-161</v>
      </c>
      <c r="S80" s="14">
        <f>IFERROR(tblClean[[#This Row],[Defective_Units]]/tblClean[[#This Row],[Actual_Units]],"")</f>
        <v>2.0297699594046009E-2</v>
      </c>
      <c r="T80" s="6">
        <f>IF(OR(tblClean[[#This Row],[Raw_Material_Used_kg]]="",tblClean[[#This Row],[Standard_Material_kg]]=""),"",tblClean[[#This Row],[Raw_Material_Used_kg]]-tblClean[[#This Row],[Standard_Material_kg]])</f>
        <v>-10.11</v>
      </c>
      <c r="U8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3214.64</v>
      </c>
      <c r="V8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4.4401104972375691</v>
      </c>
    </row>
    <row r="81" spans="1:22">
      <c r="A81" t="s">
        <v>124</v>
      </c>
      <c r="B81" s="5">
        <v>46294</v>
      </c>
      <c r="C81" t="s">
        <v>36</v>
      </c>
      <c r="D81" t="s">
        <v>37</v>
      </c>
      <c r="E81" t="s">
        <v>43</v>
      </c>
      <c r="F81" t="s">
        <v>34</v>
      </c>
      <c r="G81">
        <v>1000</v>
      </c>
      <c r="H81">
        <v>729</v>
      </c>
      <c r="I81">
        <v>35</v>
      </c>
      <c r="J81" s="6">
        <v>62.11</v>
      </c>
      <c r="K81" s="6">
        <v>94.96</v>
      </c>
      <c r="L81">
        <v>5</v>
      </c>
      <c r="M81" s="7">
        <v>1925.41</v>
      </c>
      <c r="N81" s="7">
        <v>400</v>
      </c>
      <c r="O81" s="7">
        <v>275</v>
      </c>
      <c r="P81" s="13" t="str">
        <f>IF(OR(tblClean[[#This Row],[Shift]]="",tblClean[[#This Row],[Actual_Units]]="",tblClean[[#This Row],[Raw_Material_Used_kg]]=""),"Review","OK")</f>
        <v>OK</v>
      </c>
      <c r="Q81" s="14">
        <f>IFERROR(tblClean[[#This Row],[Actual_Units]]/tblClean[[#This Row],[Planned_Units]],"")</f>
        <v>0.72899999999999998</v>
      </c>
      <c r="R81">
        <f>IF(OR(tblClean[[#This Row],[Actual_Units]]="",tblClean[[#This Row],[Planned_Units]]=""),"",tblClean[[#This Row],[Actual_Units]]-tblClean[[#This Row],[Planned_Units]])</f>
        <v>-271</v>
      </c>
      <c r="S81" s="14">
        <f>IFERROR(tblClean[[#This Row],[Defective_Units]]/tblClean[[#This Row],[Actual_Units]],"")</f>
        <v>4.8010973936899862E-2</v>
      </c>
      <c r="T81" s="6">
        <f>IF(OR(tblClean[[#This Row],[Raw_Material_Used_kg]]="",tblClean[[#This Row],[Standard_Material_kg]]=""),"",tblClean[[#This Row],[Raw_Material_Used_kg]]-tblClean[[#This Row],[Standard_Material_kg]])</f>
        <v>-32.849999999999994</v>
      </c>
      <c r="U8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2600.41</v>
      </c>
      <c r="V8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3.746988472622478</v>
      </c>
    </row>
    <row r="82" spans="1:22">
      <c r="A82" t="s">
        <v>125</v>
      </c>
      <c r="B82" s="5">
        <v>46277</v>
      </c>
      <c r="C82" t="s">
        <v>45</v>
      </c>
      <c r="D82" t="s">
        <v>46</v>
      </c>
      <c r="E82" t="s">
        <v>43</v>
      </c>
      <c r="F82" t="s">
        <v>34</v>
      </c>
      <c r="G82">
        <v>1200</v>
      </c>
      <c r="H82">
        <v>1210</v>
      </c>
      <c r="I82">
        <v>14</v>
      </c>
      <c r="J82" s="6">
        <v>142.84</v>
      </c>
      <c r="K82" s="6">
        <v>96.38</v>
      </c>
      <c r="L82">
        <v>15</v>
      </c>
      <c r="M82" s="7">
        <v>5285.08</v>
      </c>
      <c r="N82" s="7">
        <v>350</v>
      </c>
      <c r="O82" s="7">
        <v>300</v>
      </c>
      <c r="P82" s="13" t="str">
        <f>IF(OR(tblClean[[#This Row],[Shift]]="",tblClean[[#This Row],[Actual_Units]]="",tblClean[[#This Row],[Raw_Material_Used_kg]]=""),"Review","OK")</f>
        <v>OK</v>
      </c>
      <c r="Q82" s="14">
        <f>IFERROR(tblClean[[#This Row],[Actual_Units]]/tblClean[[#This Row],[Planned_Units]],"")</f>
        <v>1.0083333333333333</v>
      </c>
      <c r="R82">
        <f>IF(OR(tblClean[[#This Row],[Actual_Units]]="",tblClean[[#This Row],[Planned_Units]]=""),"",tblClean[[#This Row],[Actual_Units]]-tblClean[[#This Row],[Planned_Units]])</f>
        <v>10</v>
      </c>
      <c r="S82" s="14">
        <f>IFERROR(tblClean[[#This Row],[Defective_Units]]/tblClean[[#This Row],[Actual_Units]],"")</f>
        <v>1.1570247933884297E-2</v>
      </c>
      <c r="T82" s="6">
        <f>IF(OR(tblClean[[#This Row],[Raw_Material_Used_kg]]="",tblClean[[#This Row],[Standard_Material_kg]]=""),"",tblClean[[#This Row],[Raw_Material_Used_kg]]-tblClean[[#This Row],[Standard_Material_kg]])</f>
        <v>46.460000000000008</v>
      </c>
      <c r="U8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5935.08</v>
      </c>
      <c r="V8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4.9624414715719061</v>
      </c>
    </row>
    <row r="83" spans="1:22">
      <c r="A83" t="s">
        <v>126</v>
      </c>
      <c r="B83" s="5">
        <v>46273</v>
      </c>
      <c r="C83" t="s">
        <v>36</v>
      </c>
      <c r="D83" t="s">
        <v>37</v>
      </c>
      <c r="E83" t="s">
        <v>38</v>
      </c>
      <c r="F83" t="s">
        <v>39</v>
      </c>
      <c r="G83">
        <v>1200</v>
      </c>
      <c r="H83">
        <v>1074</v>
      </c>
      <c r="I83">
        <v>20</v>
      </c>
      <c r="J83" s="6">
        <v>89.9</v>
      </c>
      <c r="K83" s="6">
        <v>122.93</v>
      </c>
      <c r="L83">
        <v>0</v>
      </c>
      <c r="M83" s="7">
        <v>3056.6</v>
      </c>
      <c r="N83" s="7">
        <v>500</v>
      </c>
      <c r="O83" s="7">
        <v>300</v>
      </c>
      <c r="P83" s="13" t="str">
        <f>IF(OR(tblClean[[#This Row],[Shift]]="",tblClean[[#This Row],[Actual_Units]]="",tblClean[[#This Row],[Raw_Material_Used_kg]]=""),"Review","OK")</f>
        <v>OK</v>
      </c>
      <c r="Q83" s="14">
        <f>IFERROR(tblClean[[#This Row],[Actual_Units]]/tblClean[[#This Row],[Planned_Units]],"")</f>
        <v>0.89500000000000002</v>
      </c>
      <c r="R83">
        <f>IF(OR(tblClean[[#This Row],[Actual_Units]]="",tblClean[[#This Row],[Planned_Units]]=""),"",tblClean[[#This Row],[Actual_Units]]-tblClean[[#This Row],[Planned_Units]])</f>
        <v>-126</v>
      </c>
      <c r="S83" s="14">
        <f>IFERROR(tblClean[[#This Row],[Defective_Units]]/tblClean[[#This Row],[Actual_Units]],"")</f>
        <v>1.86219739292365E-2</v>
      </c>
      <c r="T83" s="6">
        <f>IF(OR(tblClean[[#This Row],[Raw_Material_Used_kg]]="",tblClean[[#This Row],[Standard_Material_kg]]=""),"",tblClean[[#This Row],[Raw_Material_Used_kg]]-tblClean[[#This Row],[Standard_Material_kg]])</f>
        <v>-33.03</v>
      </c>
      <c r="U8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3856.6</v>
      </c>
      <c r="V8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3.6590132827324475</v>
      </c>
    </row>
    <row r="84" spans="1:22">
      <c r="A84" t="s">
        <v>127</v>
      </c>
      <c r="B84" s="5">
        <v>46281</v>
      </c>
      <c r="C84" t="s">
        <v>48</v>
      </c>
      <c r="D84" t="s">
        <v>49</v>
      </c>
      <c r="E84" t="s">
        <v>43</v>
      </c>
      <c r="F84" t="s">
        <v>39</v>
      </c>
      <c r="G84">
        <v>1100</v>
      </c>
      <c r="H84">
        <v>1128</v>
      </c>
      <c r="I84">
        <v>50</v>
      </c>
      <c r="J84" s="6">
        <v>128.62</v>
      </c>
      <c r="K84" s="6">
        <v>98.26</v>
      </c>
      <c r="L84">
        <v>75</v>
      </c>
      <c r="M84" s="7">
        <v>5144.8</v>
      </c>
      <c r="N84" s="7">
        <v>250</v>
      </c>
      <c r="O84" s="7">
        <v>180</v>
      </c>
      <c r="P84" s="13" t="str">
        <f>IF(OR(tblClean[[#This Row],[Shift]]="",tblClean[[#This Row],[Actual_Units]]="",tblClean[[#This Row],[Raw_Material_Used_kg]]=""),"Review","OK")</f>
        <v>OK</v>
      </c>
      <c r="Q84" s="14">
        <f>IFERROR(tblClean[[#This Row],[Actual_Units]]/tblClean[[#This Row],[Planned_Units]],"")</f>
        <v>1.0254545454545454</v>
      </c>
      <c r="R84">
        <f>IF(OR(tblClean[[#This Row],[Actual_Units]]="",tblClean[[#This Row],[Planned_Units]]=""),"",tblClean[[#This Row],[Actual_Units]]-tblClean[[#This Row],[Planned_Units]])</f>
        <v>28</v>
      </c>
      <c r="S84" s="14">
        <f>IFERROR(tblClean[[#This Row],[Defective_Units]]/tblClean[[#This Row],[Actual_Units]],"")</f>
        <v>4.4326241134751775E-2</v>
      </c>
      <c r="T84" s="6">
        <f>IF(OR(tblClean[[#This Row],[Raw_Material_Used_kg]]="",tblClean[[#This Row],[Standard_Material_kg]]=""),"",tblClean[[#This Row],[Raw_Material_Used_kg]]-tblClean[[#This Row],[Standard_Material_kg]])</f>
        <v>30.36</v>
      </c>
      <c r="U8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5574.8</v>
      </c>
      <c r="V8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5.1714285714285717</v>
      </c>
    </row>
    <row r="85" spans="1:22">
      <c r="A85" t="s">
        <v>128</v>
      </c>
      <c r="B85" s="5">
        <v>46290</v>
      </c>
      <c r="C85" t="s">
        <v>31</v>
      </c>
      <c r="D85" t="s">
        <v>32</v>
      </c>
      <c r="E85" t="s">
        <v>33</v>
      </c>
      <c r="F85" t="s">
        <v>39</v>
      </c>
      <c r="G85">
        <v>1200</v>
      </c>
      <c r="H85">
        <v>1258</v>
      </c>
      <c r="I85">
        <v>60</v>
      </c>
      <c r="J85" s="6">
        <v>115.67</v>
      </c>
      <c r="K85" s="6">
        <v>122.35</v>
      </c>
      <c r="L85">
        <v>10</v>
      </c>
      <c r="M85" s="7">
        <v>4626.8</v>
      </c>
      <c r="N85" s="7">
        <v>250</v>
      </c>
      <c r="O85" s="7">
        <v>180</v>
      </c>
      <c r="P85" s="13" t="str">
        <f>IF(OR(tblClean[[#This Row],[Shift]]="",tblClean[[#This Row],[Actual_Units]]="",tblClean[[#This Row],[Raw_Material_Used_kg]]=""),"Review","OK")</f>
        <v>OK</v>
      </c>
      <c r="Q85" s="14">
        <f>IFERROR(tblClean[[#This Row],[Actual_Units]]/tblClean[[#This Row],[Planned_Units]],"")</f>
        <v>1.0483333333333333</v>
      </c>
      <c r="R85">
        <f>IF(OR(tblClean[[#This Row],[Actual_Units]]="",tblClean[[#This Row],[Planned_Units]]=""),"",tblClean[[#This Row],[Actual_Units]]-tblClean[[#This Row],[Planned_Units]])</f>
        <v>58</v>
      </c>
      <c r="S85" s="14">
        <f>IFERROR(tblClean[[#This Row],[Defective_Units]]/tblClean[[#This Row],[Actual_Units]],"")</f>
        <v>4.7694753577106522E-2</v>
      </c>
      <c r="T85" s="6">
        <f>IF(OR(tblClean[[#This Row],[Raw_Material_Used_kg]]="",tblClean[[#This Row],[Standard_Material_kg]]=""),"",tblClean[[#This Row],[Raw_Material_Used_kg]]-tblClean[[#This Row],[Standard_Material_kg]])</f>
        <v>-6.6799999999999926</v>
      </c>
      <c r="U8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5056.8</v>
      </c>
      <c r="V8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4.2210350584307177</v>
      </c>
    </row>
    <row r="86" spans="1:22">
      <c r="A86" t="s">
        <v>129</v>
      </c>
      <c r="B86" s="5">
        <v>46291</v>
      </c>
      <c r="C86" t="s">
        <v>31</v>
      </c>
      <c r="D86" t="s">
        <v>32</v>
      </c>
      <c r="E86" t="s">
        <v>43</v>
      </c>
      <c r="F86" t="s">
        <v>39</v>
      </c>
      <c r="G86">
        <v>800</v>
      </c>
      <c r="H86">
        <v>607</v>
      </c>
      <c r="I86">
        <v>14</v>
      </c>
      <c r="J86" s="6">
        <v>55.46</v>
      </c>
      <c r="K86" s="6">
        <v>65.209999999999994</v>
      </c>
      <c r="L86">
        <v>30</v>
      </c>
      <c r="M86" s="7">
        <v>1719.26</v>
      </c>
      <c r="N86" s="7">
        <v>350</v>
      </c>
      <c r="O86" s="7">
        <v>250</v>
      </c>
      <c r="P86" s="13" t="str">
        <f>IF(OR(tblClean[[#This Row],[Shift]]="",tblClean[[#This Row],[Actual_Units]]="",tblClean[[#This Row],[Raw_Material_Used_kg]]=""),"Review","OK")</f>
        <v>OK</v>
      </c>
      <c r="Q86" s="14">
        <f>IFERROR(tblClean[[#This Row],[Actual_Units]]/tblClean[[#This Row],[Planned_Units]],"")</f>
        <v>0.75875000000000004</v>
      </c>
      <c r="R86">
        <f>IF(OR(tblClean[[#This Row],[Actual_Units]]="",tblClean[[#This Row],[Planned_Units]]=""),"",tblClean[[#This Row],[Actual_Units]]-tblClean[[#This Row],[Planned_Units]])</f>
        <v>-193</v>
      </c>
      <c r="S86" s="14">
        <f>IFERROR(tblClean[[#This Row],[Defective_Units]]/tblClean[[#This Row],[Actual_Units]],"")</f>
        <v>2.3064250411861616E-2</v>
      </c>
      <c r="T86" s="6">
        <f>IF(OR(tblClean[[#This Row],[Raw_Material_Used_kg]]="",tblClean[[#This Row],[Standard_Material_kg]]=""),"",tblClean[[#This Row],[Raw_Material_Used_kg]]-tblClean[[#This Row],[Standard_Material_kg]])</f>
        <v>-9.7499999999999929</v>
      </c>
      <c r="U8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2319.2600000000002</v>
      </c>
      <c r="V8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3.9110623946037104</v>
      </c>
    </row>
    <row r="87" spans="1:22">
      <c r="A87" t="s">
        <v>130</v>
      </c>
      <c r="B87" s="5">
        <v>46285</v>
      </c>
      <c r="C87" t="s">
        <v>36</v>
      </c>
      <c r="D87" t="s">
        <v>37</v>
      </c>
      <c r="E87" t="s">
        <v>38</v>
      </c>
      <c r="F87" t="s">
        <v>41</v>
      </c>
      <c r="G87">
        <v>900</v>
      </c>
      <c r="H87">
        <v>766</v>
      </c>
      <c r="I87">
        <v>23</v>
      </c>
      <c r="J87" s="6">
        <v>74.16</v>
      </c>
      <c r="K87" s="6">
        <v>78.540000000000006</v>
      </c>
      <c r="L87">
        <v>15</v>
      </c>
      <c r="M87" s="7">
        <v>2521.44</v>
      </c>
      <c r="N87" s="7">
        <v>400</v>
      </c>
      <c r="O87" s="7">
        <v>180</v>
      </c>
      <c r="P87" s="13" t="str">
        <f>IF(OR(tblClean[[#This Row],[Shift]]="",tblClean[[#This Row],[Actual_Units]]="",tblClean[[#This Row],[Raw_Material_Used_kg]]=""),"Review","OK")</f>
        <v>OK</v>
      </c>
      <c r="Q87" s="14">
        <f>IFERROR(tblClean[[#This Row],[Actual_Units]]/tblClean[[#This Row],[Planned_Units]],"")</f>
        <v>0.85111111111111115</v>
      </c>
      <c r="R87">
        <f>IF(OR(tblClean[[#This Row],[Actual_Units]]="",tblClean[[#This Row],[Planned_Units]]=""),"",tblClean[[#This Row],[Actual_Units]]-tblClean[[#This Row],[Planned_Units]])</f>
        <v>-134</v>
      </c>
      <c r="S87" s="14">
        <f>IFERROR(tblClean[[#This Row],[Defective_Units]]/tblClean[[#This Row],[Actual_Units]],"")</f>
        <v>3.0026109660574413E-2</v>
      </c>
      <c r="T87" s="6">
        <f>IF(OR(tblClean[[#This Row],[Raw_Material_Used_kg]]="",tblClean[[#This Row],[Standard_Material_kg]]=""),"",tblClean[[#This Row],[Raw_Material_Used_kg]]-tblClean[[#This Row],[Standard_Material_kg]])</f>
        <v>-4.3800000000000097</v>
      </c>
      <c r="U8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3101.44</v>
      </c>
      <c r="V8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4.1742126514131899</v>
      </c>
    </row>
    <row r="88" spans="1:22">
      <c r="A88" t="s">
        <v>131</v>
      </c>
      <c r="B88" s="5">
        <v>46278</v>
      </c>
      <c r="C88" t="s">
        <v>45</v>
      </c>
      <c r="D88" t="s">
        <v>46</v>
      </c>
      <c r="E88" t="s">
        <v>38</v>
      </c>
      <c r="F88" t="s">
        <v>41</v>
      </c>
      <c r="G88">
        <v>1300</v>
      </c>
      <c r="H88">
        <v>1058</v>
      </c>
      <c r="I88">
        <v>37</v>
      </c>
      <c r="J88" s="6">
        <v>124.59</v>
      </c>
      <c r="K88" s="6">
        <v>121.71</v>
      </c>
      <c r="L88">
        <v>15</v>
      </c>
      <c r="M88" s="7">
        <v>3488.52</v>
      </c>
      <c r="N88" s="7">
        <v>300</v>
      </c>
      <c r="O88" s="7">
        <v>300</v>
      </c>
      <c r="P88" s="13" t="str">
        <f>IF(OR(tblClean[[#This Row],[Shift]]="",tblClean[[#This Row],[Actual_Units]]="",tblClean[[#This Row],[Raw_Material_Used_kg]]=""),"Review","OK")</f>
        <v>OK</v>
      </c>
      <c r="Q88" s="14">
        <f>IFERROR(tblClean[[#This Row],[Actual_Units]]/tblClean[[#This Row],[Planned_Units]],"")</f>
        <v>0.81384615384615389</v>
      </c>
      <c r="R88">
        <f>IF(OR(tblClean[[#This Row],[Actual_Units]]="",tblClean[[#This Row],[Planned_Units]]=""),"",tblClean[[#This Row],[Actual_Units]]-tblClean[[#This Row],[Planned_Units]])</f>
        <v>-242</v>
      </c>
      <c r="S88" s="14">
        <f>IFERROR(tblClean[[#This Row],[Defective_Units]]/tblClean[[#This Row],[Actual_Units]],"")</f>
        <v>3.4971644612476371E-2</v>
      </c>
      <c r="T88" s="6">
        <f>IF(OR(tblClean[[#This Row],[Raw_Material_Used_kg]]="",tblClean[[#This Row],[Standard_Material_kg]]=""),"",tblClean[[#This Row],[Raw_Material_Used_kg]]-tblClean[[#This Row],[Standard_Material_kg]])</f>
        <v>2.8800000000000097</v>
      </c>
      <c r="U8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4088.52</v>
      </c>
      <c r="V8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4.0044270323212539</v>
      </c>
    </row>
    <row r="89" spans="1:22">
      <c r="A89" t="s">
        <v>132</v>
      </c>
      <c r="B89" s="5">
        <v>46294</v>
      </c>
      <c r="C89" t="s">
        <v>36</v>
      </c>
      <c r="D89" t="s">
        <v>37</v>
      </c>
      <c r="E89" t="s">
        <v>33</v>
      </c>
      <c r="F89" t="s">
        <v>39</v>
      </c>
      <c r="G89">
        <v>1000</v>
      </c>
      <c r="H89">
        <v>865</v>
      </c>
      <c r="I89">
        <v>26</v>
      </c>
      <c r="J89" s="6">
        <v>107.14</v>
      </c>
      <c r="K89" s="6">
        <v>84.83</v>
      </c>
      <c r="L89">
        <v>10</v>
      </c>
      <c r="M89" s="7">
        <v>3321.34</v>
      </c>
      <c r="N89" s="7">
        <v>400</v>
      </c>
      <c r="O89" s="7">
        <v>250</v>
      </c>
      <c r="P89" s="13" t="str">
        <f>IF(OR(tblClean[[#This Row],[Shift]]="",tblClean[[#This Row],[Actual_Units]]="",tblClean[[#This Row],[Raw_Material_Used_kg]]=""),"Review","OK")</f>
        <v>OK</v>
      </c>
      <c r="Q89" s="14">
        <f>IFERROR(tblClean[[#This Row],[Actual_Units]]/tblClean[[#This Row],[Planned_Units]],"")</f>
        <v>0.86499999999999999</v>
      </c>
      <c r="R89">
        <f>IF(OR(tblClean[[#This Row],[Actual_Units]]="",tblClean[[#This Row],[Planned_Units]]=""),"",tblClean[[#This Row],[Actual_Units]]-tblClean[[#This Row],[Planned_Units]])</f>
        <v>-135</v>
      </c>
      <c r="S89" s="14">
        <f>IFERROR(tblClean[[#This Row],[Defective_Units]]/tblClean[[#This Row],[Actual_Units]],"")</f>
        <v>3.0057803468208091E-2</v>
      </c>
      <c r="T89" s="6">
        <f>IF(OR(tblClean[[#This Row],[Raw_Material_Used_kg]]="",tblClean[[#This Row],[Standard_Material_kg]]=""),"",tblClean[[#This Row],[Raw_Material_Used_kg]]-tblClean[[#This Row],[Standard_Material_kg]])</f>
        <v>22.310000000000002</v>
      </c>
      <c r="U8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3971.34</v>
      </c>
      <c r="V8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4.7334207389749707</v>
      </c>
    </row>
    <row r="90" spans="1:22">
      <c r="A90" t="s">
        <v>133</v>
      </c>
      <c r="B90" s="5">
        <v>46270</v>
      </c>
      <c r="C90" t="s">
        <v>36</v>
      </c>
      <c r="D90" t="s">
        <v>37</v>
      </c>
      <c r="E90" t="s">
        <v>33</v>
      </c>
      <c r="F90" t="s">
        <v>34</v>
      </c>
      <c r="G90">
        <v>900</v>
      </c>
      <c r="H90">
        <v>923</v>
      </c>
      <c r="I90">
        <v>23</v>
      </c>
      <c r="J90" s="6">
        <v>105.6</v>
      </c>
      <c r="K90" s="6">
        <v>94.88</v>
      </c>
      <c r="L90">
        <v>30</v>
      </c>
      <c r="M90" s="7">
        <v>4224</v>
      </c>
      <c r="N90" s="7">
        <v>350</v>
      </c>
      <c r="O90" s="7">
        <v>300</v>
      </c>
      <c r="P90" s="13" t="str">
        <f>IF(OR(tblClean[[#This Row],[Shift]]="",tblClean[[#This Row],[Actual_Units]]="",tblClean[[#This Row],[Raw_Material_Used_kg]]=""),"Review","OK")</f>
        <v>OK</v>
      </c>
      <c r="Q90" s="14">
        <f>IFERROR(tblClean[[#This Row],[Actual_Units]]/tblClean[[#This Row],[Planned_Units]],"")</f>
        <v>1.0255555555555556</v>
      </c>
      <c r="R90">
        <f>IF(OR(tblClean[[#This Row],[Actual_Units]]="",tblClean[[#This Row],[Planned_Units]]=""),"",tblClean[[#This Row],[Actual_Units]]-tblClean[[#This Row],[Planned_Units]])</f>
        <v>23</v>
      </c>
      <c r="S90" s="14">
        <f>IFERROR(tblClean[[#This Row],[Defective_Units]]/tblClean[[#This Row],[Actual_Units]],"")</f>
        <v>2.4918743228602384E-2</v>
      </c>
      <c r="T90" s="6">
        <f>IF(OR(tblClean[[#This Row],[Raw_Material_Used_kg]]="",tblClean[[#This Row],[Standard_Material_kg]]=""),"",tblClean[[#This Row],[Raw_Material_Used_kg]]-tblClean[[#This Row],[Standard_Material_kg]])</f>
        <v>10.719999999999999</v>
      </c>
      <c r="U9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4874</v>
      </c>
      <c r="V9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5.4155555555555557</v>
      </c>
    </row>
    <row r="91" spans="1:22">
      <c r="A91" t="s">
        <v>134</v>
      </c>
      <c r="B91" s="5">
        <v>46266</v>
      </c>
      <c r="C91" t="s">
        <v>48</v>
      </c>
      <c r="D91" t="s">
        <v>49</v>
      </c>
      <c r="E91" t="s">
        <v>43</v>
      </c>
      <c r="F91" t="s">
        <v>34</v>
      </c>
      <c r="G91">
        <v>1300</v>
      </c>
      <c r="H91">
        <v>952</v>
      </c>
      <c r="I91">
        <v>51</v>
      </c>
      <c r="J91" s="6">
        <v>94.23</v>
      </c>
      <c r="K91" s="6">
        <v>111.77</v>
      </c>
      <c r="L91">
        <v>5</v>
      </c>
      <c r="M91" s="7">
        <v>3486.51</v>
      </c>
      <c r="N91" s="7">
        <v>350</v>
      </c>
      <c r="O91" s="7">
        <v>275</v>
      </c>
      <c r="P91" s="13" t="str">
        <f>IF(OR(tblClean[[#This Row],[Shift]]="",tblClean[[#This Row],[Actual_Units]]="",tblClean[[#This Row],[Raw_Material_Used_kg]]=""),"Review","OK")</f>
        <v>OK</v>
      </c>
      <c r="Q91" s="14">
        <f>IFERROR(tblClean[[#This Row],[Actual_Units]]/tblClean[[#This Row],[Planned_Units]],"")</f>
        <v>0.73230769230769233</v>
      </c>
      <c r="R91">
        <f>IF(OR(tblClean[[#This Row],[Actual_Units]]="",tblClean[[#This Row],[Planned_Units]]=""),"",tblClean[[#This Row],[Actual_Units]]-tblClean[[#This Row],[Planned_Units]])</f>
        <v>-348</v>
      </c>
      <c r="S91" s="14">
        <f>IFERROR(tblClean[[#This Row],[Defective_Units]]/tblClean[[#This Row],[Actual_Units]],"")</f>
        <v>5.3571428571428568E-2</v>
      </c>
      <c r="T91" s="6">
        <f>IF(OR(tblClean[[#This Row],[Raw_Material_Used_kg]]="",tblClean[[#This Row],[Standard_Material_kg]]=""),"",tblClean[[#This Row],[Raw_Material_Used_kg]]-tblClean[[#This Row],[Standard_Material_kg]])</f>
        <v>-17.539999999999992</v>
      </c>
      <c r="U9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4111.51</v>
      </c>
      <c r="V9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4.5632741398446175</v>
      </c>
    </row>
    <row r="92" spans="1:22">
      <c r="A92" t="s">
        <v>135</v>
      </c>
      <c r="B92" s="5">
        <v>46279</v>
      </c>
      <c r="C92" t="s">
        <v>45</v>
      </c>
      <c r="D92" t="s">
        <v>46</v>
      </c>
      <c r="E92" t="s">
        <v>38</v>
      </c>
      <c r="F92" t="s">
        <v>34</v>
      </c>
      <c r="G92">
        <v>1200</v>
      </c>
      <c r="H92">
        <v>1088</v>
      </c>
      <c r="I92">
        <v>24</v>
      </c>
      <c r="J92" s="6">
        <v>94.39</v>
      </c>
      <c r="K92" s="6">
        <v>113.93</v>
      </c>
      <c r="L92">
        <v>60</v>
      </c>
      <c r="M92" s="7">
        <v>2642.92</v>
      </c>
      <c r="N92" s="7">
        <v>350</v>
      </c>
      <c r="O92" s="7">
        <v>275</v>
      </c>
      <c r="P92" s="13" t="str">
        <f>IF(OR(tblClean[[#This Row],[Shift]]="",tblClean[[#This Row],[Actual_Units]]="",tblClean[[#This Row],[Raw_Material_Used_kg]]=""),"Review","OK")</f>
        <v>OK</v>
      </c>
      <c r="Q92" s="14">
        <f>IFERROR(tblClean[[#This Row],[Actual_Units]]/tblClean[[#This Row],[Planned_Units]],"")</f>
        <v>0.90666666666666662</v>
      </c>
      <c r="R92">
        <f>IF(OR(tblClean[[#This Row],[Actual_Units]]="",tblClean[[#This Row],[Planned_Units]]=""),"",tblClean[[#This Row],[Actual_Units]]-tblClean[[#This Row],[Planned_Units]])</f>
        <v>-112</v>
      </c>
      <c r="S92" s="14">
        <f>IFERROR(tblClean[[#This Row],[Defective_Units]]/tblClean[[#This Row],[Actual_Units]],"")</f>
        <v>2.2058823529411766E-2</v>
      </c>
      <c r="T92" s="6">
        <f>IF(OR(tblClean[[#This Row],[Raw_Material_Used_kg]]="",tblClean[[#This Row],[Standard_Material_kg]]=""),"",tblClean[[#This Row],[Raw_Material_Used_kg]]-tblClean[[#This Row],[Standard_Material_kg]])</f>
        <v>-19.540000000000006</v>
      </c>
      <c r="U9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3267.92</v>
      </c>
      <c r="V9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3.0713533834586468</v>
      </c>
    </row>
    <row r="93" spans="1:22">
      <c r="A93" t="s">
        <v>136</v>
      </c>
      <c r="B93" s="5">
        <v>46288</v>
      </c>
      <c r="C93" t="s">
        <v>45</v>
      </c>
      <c r="D93" t="s">
        <v>46</v>
      </c>
      <c r="E93" t="s">
        <v>33</v>
      </c>
      <c r="F93" t="s">
        <v>39</v>
      </c>
      <c r="G93">
        <v>1200</v>
      </c>
      <c r="H93">
        <v>876</v>
      </c>
      <c r="I93">
        <v>37</v>
      </c>
      <c r="J93" s="6">
        <v>97.15</v>
      </c>
      <c r="K93" s="6">
        <v>120.81</v>
      </c>
      <c r="L93">
        <v>30</v>
      </c>
      <c r="M93" s="7">
        <v>3594.55</v>
      </c>
      <c r="N93" s="7">
        <v>300</v>
      </c>
      <c r="O93" s="7">
        <v>180</v>
      </c>
      <c r="P93" s="13" t="str">
        <f>IF(OR(tblClean[[#This Row],[Shift]]="",tblClean[[#This Row],[Actual_Units]]="",tblClean[[#This Row],[Raw_Material_Used_kg]]=""),"Review","OK")</f>
        <v>OK</v>
      </c>
      <c r="Q93" s="14">
        <f>IFERROR(tblClean[[#This Row],[Actual_Units]]/tblClean[[#This Row],[Planned_Units]],"")</f>
        <v>0.73</v>
      </c>
      <c r="R93">
        <f>IF(OR(tblClean[[#This Row],[Actual_Units]]="",tblClean[[#This Row],[Planned_Units]]=""),"",tblClean[[#This Row],[Actual_Units]]-tblClean[[#This Row],[Planned_Units]])</f>
        <v>-324</v>
      </c>
      <c r="S93" s="14">
        <f>IFERROR(tblClean[[#This Row],[Defective_Units]]/tblClean[[#This Row],[Actual_Units]],"")</f>
        <v>4.2237442922374427E-2</v>
      </c>
      <c r="T93" s="6">
        <f>IF(OR(tblClean[[#This Row],[Raw_Material_Used_kg]]="",tblClean[[#This Row],[Standard_Material_kg]]=""),"",tblClean[[#This Row],[Raw_Material_Used_kg]]-tblClean[[#This Row],[Standard_Material_kg]])</f>
        <v>-23.659999999999997</v>
      </c>
      <c r="U9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4074.55</v>
      </c>
      <c r="V9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4.8564362336114426</v>
      </c>
    </row>
    <row r="94" spans="1:22">
      <c r="A94" t="s">
        <v>137</v>
      </c>
      <c r="B94" s="5">
        <v>46285</v>
      </c>
      <c r="C94" t="s">
        <v>31</v>
      </c>
      <c r="D94" t="s">
        <v>32</v>
      </c>
      <c r="E94" t="s">
        <v>43</v>
      </c>
      <c r="F94" t="s">
        <v>39</v>
      </c>
      <c r="G94">
        <v>1200</v>
      </c>
      <c r="H94">
        <v>1081</v>
      </c>
      <c r="I94">
        <v>43</v>
      </c>
      <c r="J94" s="6">
        <v>86.74</v>
      </c>
      <c r="K94" s="6">
        <v>96.57</v>
      </c>
      <c r="L94">
        <v>75</v>
      </c>
      <c r="M94" s="7">
        <v>2428.7199999999998</v>
      </c>
      <c r="N94" s="7">
        <v>250</v>
      </c>
      <c r="O94" s="7">
        <v>225</v>
      </c>
      <c r="P94" s="13" t="str">
        <f>IF(OR(tblClean[[#This Row],[Shift]]="",tblClean[[#This Row],[Actual_Units]]="",tblClean[[#This Row],[Raw_Material_Used_kg]]=""),"Review","OK")</f>
        <v>OK</v>
      </c>
      <c r="Q94" s="14">
        <f>IFERROR(tblClean[[#This Row],[Actual_Units]]/tblClean[[#This Row],[Planned_Units]],"")</f>
        <v>0.90083333333333337</v>
      </c>
      <c r="R94">
        <f>IF(OR(tblClean[[#This Row],[Actual_Units]]="",tblClean[[#This Row],[Planned_Units]]=""),"",tblClean[[#This Row],[Actual_Units]]-tblClean[[#This Row],[Planned_Units]])</f>
        <v>-119</v>
      </c>
      <c r="S94" s="14">
        <f>IFERROR(tblClean[[#This Row],[Defective_Units]]/tblClean[[#This Row],[Actual_Units]],"")</f>
        <v>3.9777983348751156E-2</v>
      </c>
      <c r="T94" s="6">
        <f>IF(OR(tblClean[[#This Row],[Raw_Material_Used_kg]]="",tblClean[[#This Row],[Standard_Material_kg]]=""),"",tblClean[[#This Row],[Raw_Material_Used_kg]]-tblClean[[#This Row],[Standard_Material_kg]])</f>
        <v>-9.8299999999999983</v>
      </c>
      <c r="U9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2903.72</v>
      </c>
      <c r="V9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2.7974181117533718</v>
      </c>
    </row>
    <row r="95" spans="1:22">
      <c r="A95" t="s">
        <v>138</v>
      </c>
      <c r="B95" s="5">
        <v>46266</v>
      </c>
      <c r="C95" t="s">
        <v>36</v>
      </c>
      <c r="D95" t="s">
        <v>37</v>
      </c>
      <c r="E95" t="s">
        <v>43</v>
      </c>
      <c r="F95" t="s">
        <v>39</v>
      </c>
      <c r="G95">
        <v>1200</v>
      </c>
      <c r="H95">
        <v>1217</v>
      </c>
      <c r="I95">
        <v>16</v>
      </c>
      <c r="J95" s="6">
        <v>111.2</v>
      </c>
      <c r="K95" s="6">
        <v>112.1</v>
      </c>
      <c r="L95">
        <v>60</v>
      </c>
      <c r="M95" s="7">
        <v>3780.8</v>
      </c>
      <c r="N95" s="7">
        <v>400</v>
      </c>
      <c r="O95" s="7">
        <v>200</v>
      </c>
      <c r="P95" s="13" t="str">
        <f>IF(OR(tblClean[[#This Row],[Shift]]="",tblClean[[#This Row],[Actual_Units]]="",tblClean[[#This Row],[Raw_Material_Used_kg]]=""),"Review","OK")</f>
        <v>OK</v>
      </c>
      <c r="Q95" s="14">
        <f>IFERROR(tblClean[[#This Row],[Actual_Units]]/tblClean[[#This Row],[Planned_Units]],"")</f>
        <v>1.0141666666666667</v>
      </c>
      <c r="R95">
        <f>IF(OR(tblClean[[#This Row],[Actual_Units]]="",tblClean[[#This Row],[Planned_Units]]=""),"",tblClean[[#This Row],[Actual_Units]]-tblClean[[#This Row],[Planned_Units]])</f>
        <v>17</v>
      </c>
      <c r="S95" s="14">
        <f>IFERROR(tblClean[[#This Row],[Defective_Units]]/tblClean[[#This Row],[Actual_Units]],"")</f>
        <v>1.314708299096138E-2</v>
      </c>
      <c r="T95" s="6">
        <f>IF(OR(tblClean[[#This Row],[Raw_Material_Used_kg]]="",tblClean[[#This Row],[Standard_Material_kg]]=""),"",tblClean[[#This Row],[Raw_Material_Used_kg]]-tblClean[[#This Row],[Standard_Material_kg]])</f>
        <v>-0.89999999999999147</v>
      </c>
      <c r="U9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4380.8</v>
      </c>
      <c r="V9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3.6476269775187347</v>
      </c>
    </row>
    <row r="96" spans="1:22">
      <c r="A96" t="s">
        <v>139</v>
      </c>
      <c r="B96" s="5">
        <v>46270</v>
      </c>
      <c r="C96" t="s">
        <v>31</v>
      </c>
      <c r="D96" t="s">
        <v>32</v>
      </c>
      <c r="E96" t="s">
        <v>38</v>
      </c>
      <c r="F96" t="s">
        <v>41</v>
      </c>
      <c r="G96">
        <v>800</v>
      </c>
      <c r="H96">
        <v>646</v>
      </c>
      <c r="I96">
        <v>29</v>
      </c>
      <c r="J96" s="6">
        <v>77.05</v>
      </c>
      <c r="K96" s="6">
        <v>69.650000000000006</v>
      </c>
      <c r="L96">
        <v>15</v>
      </c>
      <c r="M96" s="7">
        <v>2850.85</v>
      </c>
      <c r="N96" s="7">
        <v>500</v>
      </c>
      <c r="O96" s="7">
        <v>180</v>
      </c>
      <c r="P96" s="13" t="str">
        <f>IF(OR(tblClean[[#This Row],[Shift]]="",tblClean[[#This Row],[Actual_Units]]="",tblClean[[#This Row],[Raw_Material_Used_kg]]=""),"Review","OK")</f>
        <v>OK</v>
      </c>
      <c r="Q96" s="14">
        <f>IFERROR(tblClean[[#This Row],[Actual_Units]]/tblClean[[#This Row],[Planned_Units]],"")</f>
        <v>0.8075</v>
      </c>
      <c r="R96">
        <f>IF(OR(tblClean[[#This Row],[Actual_Units]]="",tblClean[[#This Row],[Planned_Units]]=""),"",tblClean[[#This Row],[Actual_Units]]-tblClean[[#This Row],[Planned_Units]])</f>
        <v>-154</v>
      </c>
      <c r="S96" s="14">
        <f>IFERROR(tblClean[[#This Row],[Defective_Units]]/tblClean[[#This Row],[Actual_Units]],"")</f>
        <v>4.4891640866873063E-2</v>
      </c>
      <c r="T96" s="6">
        <f>IF(OR(tblClean[[#This Row],[Raw_Material_Used_kg]]="",tblClean[[#This Row],[Standard_Material_kg]]=""),"",tblClean[[#This Row],[Raw_Material_Used_kg]]-tblClean[[#This Row],[Standard_Material_kg]])</f>
        <v>7.3999999999999915</v>
      </c>
      <c r="U9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3530.85</v>
      </c>
      <c r="V9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5.7226094003241492</v>
      </c>
    </row>
    <row r="97" spans="1:22">
      <c r="A97" t="s">
        <v>140</v>
      </c>
      <c r="B97" s="5">
        <v>46275</v>
      </c>
      <c r="C97" t="s">
        <v>48</v>
      </c>
      <c r="D97" t="s">
        <v>49</v>
      </c>
      <c r="E97" t="s">
        <v>38</v>
      </c>
      <c r="F97" t="s">
        <v>39</v>
      </c>
      <c r="G97">
        <v>1300</v>
      </c>
      <c r="H97">
        <v>1045</v>
      </c>
      <c r="I97">
        <v>37</v>
      </c>
      <c r="J97" s="6">
        <v>106.68</v>
      </c>
      <c r="K97" s="6">
        <v>128.29</v>
      </c>
      <c r="L97">
        <v>15</v>
      </c>
      <c r="M97" s="7">
        <v>3627.12</v>
      </c>
      <c r="N97" s="7">
        <v>400</v>
      </c>
      <c r="O97" s="7">
        <v>275</v>
      </c>
      <c r="P97" s="13" t="str">
        <f>IF(OR(tblClean[[#This Row],[Shift]]="",tblClean[[#This Row],[Actual_Units]]="",tblClean[[#This Row],[Raw_Material_Used_kg]]=""),"Review","OK")</f>
        <v>OK</v>
      </c>
      <c r="Q97" s="14">
        <f>IFERROR(tblClean[[#This Row],[Actual_Units]]/tblClean[[#This Row],[Planned_Units]],"")</f>
        <v>0.80384615384615388</v>
      </c>
      <c r="R97">
        <f>IF(OR(tblClean[[#This Row],[Actual_Units]]="",tblClean[[#This Row],[Planned_Units]]=""),"",tblClean[[#This Row],[Actual_Units]]-tblClean[[#This Row],[Planned_Units]])</f>
        <v>-255</v>
      </c>
      <c r="S97" s="14">
        <f>IFERROR(tblClean[[#This Row],[Defective_Units]]/tblClean[[#This Row],[Actual_Units]],"")</f>
        <v>3.5406698564593303E-2</v>
      </c>
      <c r="T97" s="6">
        <f>IF(OR(tblClean[[#This Row],[Raw_Material_Used_kg]]="",tblClean[[#This Row],[Standard_Material_kg]]=""),"",tblClean[[#This Row],[Raw_Material_Used_kg]]-tblClean[[#This Row],[Standard_Material_kg]])</f>
        <v>-21.609999999999985</v>
      </c>
      <c r="U9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4302.12</v>
      </c>
      <c r="V9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4.2679761904761904</v>
      </c>
    </row>
    <row r="98" spans="1:22">
      <c r="A98" t="s">
        <v>141</v>
      </c>
      <c r="B98" s="5">
        <v>46271</v>
      </c>
      <c r="C98" t="s">
        <v>45</v>
      </c>
      <c r="D98" t="s">
        <v>46</v>
      </c>
      <c r="E98" t="s">
        <v>33</v>
      </c>
      <c r="F98" t="s">
        <v>41</v>
      </c>
      <c r="G98">
        <v>1000</v>
      </c>
      <c r="H98">
        <v>922</v>
      </c>
      <c r="I98">
        <v>21</v>
      </c>
      <c r="J98" s="6">
        <v>69.39</v>
      </c>
      <c r="K98" s="6">
        <v>98.57</v>
      </c>
      <c r="L98">
        <v>75</v>
      </c>
      <c r="M98" s="7">
        <v>2359.2600000000002</v>
      </c>
      <c r="N98" s="7">
        <v>500</v>
      </c>
      <c r="O98" s="7">
        <v>200</v>
      </c>
      <c r="P98" s="13" t="str">
        <f>IF(OR(tblClean[[#This Row],[Shift]]="",tblClean[[#This Row],[Actual_Units]]="",tblClean[[#This Row],[Raw_Material_Used_kg]]=""),"Review","OK")</f>
        <v>OK</v>
      </c>
      <c r="Q98" s="14">
        <f>IFERROR(tblClean[[#This Row],[Actual_Units]]/tblClean[[#This Row],[Planned_Units]],"")</f>
        <v>0.92200000000000004</v>
      </c>
      <c r="R98">
        <f>IF(OR(tblClean[[#This Row],[Actual_Units]]="",tblClean[[#This Row],[Planned_Units]]=""),"",tblClean[[#This Row],[Actual_Units]]-tblClean[[#This Row],[Planned_Units]])</f>
        <v>-78</v>
      </c>
      <c r="S98" s="14">
        <f>IFERROR(tblClean[[#This Row],[Defective_Units]]/tblClean[[#This Row],[Actual_Units]],"")</f>
        <v>2.27765726681128E-2</v>
      </c>
      <c r="T98" s="6">
        <f>IF(OR(tblClean[[#This Row],[Raw_Material_Used_kg]]="",tblClean[[#This Row],[Standard_Material_kg]]=""),"",tblClean[[#This Row],[Raw_Material_Used_kg]]-tblClean[[#This Row],[Standard_Material_kg]])</f>
        <v>-29.179999999999993</v>
      </c>
      <c r="U9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3059.26</v>
      </c>
      <c r="V9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3.3954051054384022</v>
      </c>
    </row>
    <row r="99" spans="1:22">
      <c r="A99" t="s">
        <v>142</v>
      </c>
      <c r="B99" s="5">
        <v>46278</v>
      </c>
      <c r="C99" t="s">
        <v>45</v>
      </c>
      <c r="D99" t="s">
        <v>46</v>
      </c>
      <c r="E99" t="s">
        <v>33</v>
      </c>
      <c r="F99" t="s">
        <v>41</v>
      </c>
      <c r="G99">
        <v>1300</v>
      </c>
      <c r="H99">
        <v>1203</v>
      </c>
      <c r="I99">
        <v>26</v>
      </c>
      <c r="J99" s="6">
        <v>122.98</v>
      </c>
      <c r="K99" s="6">
        <v>106.91</v>
      </c>
      <c r="L99">
        <v>60</v>
      </c>
      <c r="M99" s="7">
        <v>3443.44</v>
      </c>
      <c r="N99" s="7">
        <v>250</v>
      </c>
      <c r="O99" s="7">
        <v>225</v>
      </c>
      <c r="P99" s="13" t="str">
        <f>IF(OR(tblClean[[#This Row],[Shift]]="",tblClean[[#This Row],[Actual_Units]]="",tblClean[[#This Row],[Raw_Material_Used_kg]]=""),"Review","OK")</f>
        <v>OK</v>
      </c>
      <c r="Q99" s="14">
        <f>IFERROR(tblClean[[#This Row],[Actual_Units]]/tblClean[[#This Row],[Planned_Units]],"")</f>
        <v>0.92538461538461536</v>
      </c>
      <c r="R99">
        <f>IF(OR(tblClean[[#This Row],[Actual_Units]]="",tblClean[[#This Row],[Planned_Units]]=""),"",tblClean[[#This Row],[Actual_Units]]-tblClean[[#This Row],[Planned_Units]])</f>
        <v>-97</v>
      </c>
      <c r="S99" s="14">
        <f>IFERROR(tblClean[[#This Row],[Defective_Units]]/tblClean[[#This Row],[Actual_Units]],"")</f>
        <v>2.1612635078969242E-2</v>
      </c>
      <c r="T99" s="6">
        <f>IF(OR(tblClean[[#This Row],[Raw_Material_Used_kg]]="",tblClean[[#This Row],[Standard_Material_kg]]=""),"",tblClean[[#This Row],[Raw_Material_Used_kg]]-tblClean[[#This Row],[Standard_Material_kg]])</f>
        <v>16.070000000000007</v>
      </c>
      <c r="U9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3918.44</v>
      </c>
      <c r="V9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3.3291758708581138</v>
      </c>
    </row>
    <row r="100" spans="1:22">
      <c r="A100" t="s">
        <v>143</v>
      </c>
      <c r="B100" s="5">
        <v>46288</v>
      </c>
      <c r="C100" t="s">
        <v>45</v>
      </c>
      <c r="D100" t="s">
        <v>46</v>
      </c>
      <c r="E100" t="s">
        <v>43</v>
      </c>
      <c r="F100" t="s">
        <v>41</v>
      </c>
      <c r="G100">
        <v>1200</v>
      </c>
      <c r="H100">
        <v>894</v>
      </c>
      <c r="I100">
        <v>19</v>
      </c>
      <c r="J100" s="6">
        <v>93.21</v>
      </c>
      <c r="K100" s="6">
        <v>108.4</v>
      </c>
      <c r="L100">
        <v>30</v>
      </c>
      <c r="M100" s="7">
        <v>3448.77</v>
      </c>
      <c r="N100" s="7">
        <v>350</v>
      </c>
      <c r="O100" s="7">
        <v>275</v>
      </c>
      <c r="P100" s="13" t="str">
        <f>IF(OR(tblClean[[#This Row],[Shift]]="",tblClean[[#This Row],[Actual_Units]]="",tblClean[[#This Row],[Raw_Material_Used_kg]]=""),"Review","OK")</f>
        <v>OK</v>
      </c>
      <c r="Q100" s="14">
        <f>IFERROR(tblClean[[#This Row],[Actual_Units]]/tblClean[[#This Row],[Planned_Units]],"")</f>
        <v>0.745</v>
      </c>
      <c r="R100">
        <f>IF(OR(tblClean[[#This Row],[Actual_Units]]="",tblClean[[#This Row],[Planned_Units]]=""),"",tblClean[[#This Row],[Actual_Units]]-tblClean[[#This Row],[Planned_Units]])</f>
        <v>-306</v>
      </c>
      <c r="S100" s="14">
        <f>IFERROR(tblClean[[#This Row],[Defective_Units]]/tblClean[[#This Row],[Actual_Units]],"")</f>
        <v>2.1252796420581657E-2</v>
      </c>
      <c r="T100" s="6">
        <f>IF(OR(tblClean[[#This Row],[Raw_Material_Used_kg]]="",tblClean[[#This Row],[Standard_Material_kg]]=""),"",tblClean[[#This Row],[Raw_Material_Used_kg]]-tblClean[[#This Row],[Standard_Material_kg]])</f>
        <v>-15.190000000000012</v>
      </c>
      <c r="U10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4073.77</v>
      </c>
      <c r="V10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4.6557371428571432</v>
      </c>
    </row>
    <row r="101" spans="1:22">
      <c r="A101" t="s">
        <v>144</v>
      </c>
      <c r="B101" s="5">
        <v>46269</v>
      </c>
      <c r="C101" t="s">
        <v>48</v>
      </c>
      <c r="D101" t="s">
        <v>49</v>
      </c>
      <c r="E101" t="s">
        <v>33</v>
      </c>
      <c r="F101" t="s">
        <v>41</v>
      </c>
      <c r="G101">
        <v>1200</v>
      </c>
      <c r="H101">
        <v>1293</v>
      </c>
      <c r="I101">
        <v>42</v>
      </c>
      <c r="J101" s="6">
        <v>103.31</v>
      </c>
      <c r="K101" s="6">
        <v>105.78</v>
      </c>
      <c r="L101">
        <v>0</v>
      </c>
      <c r="M101" s="7">
        <v>2892.68</v>
      </c>
      <c r="N101" s="7">
        <v>250</v>
      </c>
      <c r="O101" s="7">
        <v>275</v>
      </c>
      <c r="P101" s="13" t="str">
        <f>IF(OR(tblClean[[#This Row],[Shift]]="",tblClean[[#This Row],[Actual_Units]]="",tblClean[[#This Row],[Raw_Material_Used_kg]]=""),"Review","OK")</f>
        <v>OK</v>
      </c>
      <c r="Q101" s="14">
        <f>IFERROR(tblClean[[#This Row],[Actual_Units]]/tblClean[[#This Row],[Planned_Units]],"")</f>
        <v>1.0774999999999999</v>
      </c>
      <c r="R101">
        <f>IF(OR(tblClean[[#This Row],[Actual_Units]]="",tblClean[[#This Row],[Planned_Units]]=""),"",tblClean[[#This Row],[Actual_Units]]-tblClean[[#This Row],[Planned_Units]])</f>
        <v>93</v>
      </c>
      <c r="S101" s="14">
        <f>IFERROR(tblClean[[#This Row],[Defective_Units]]/tblClean[[#This Row],[Actual_Units]],"")</f>
        <v>3.248259860788863E-2</v>
      </c>
      <c r="T101" s="6">
        <f>IF(OR(tblClean[[#This Row],[Raw_Material_Used_kg]]="",tblClean[[#This Row],[Standard_Material_kg]]=""),"",tblClean[[#This Row],[Raw_Material_Used_kg]]-tblClean[[#This Row],[Standard_Material_kg]])</f>
        <v>-2.4699999999999989</v>
      </c>
      <c r="U10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3417.68</v>
      </c>
      <c r="V10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2.7319584332533973</v>
      </c>
    </row>
    <row r="102" spans="1:22">
      <c r="A102" t="s">
        <v>145</v>
      </c>
      <c r="B102" s="5">
        <v>46279</v>
      </c>
      <c r="C102" t="s">
        <v>48</v>
      </c>
      <c r="D102" t="s">
        <v>49</v>
      </c>
      <c r="E102" t="s">
        <v>38</v>
      </c>
      <c r="F102" t="s">
        <v>39</v>
      </c>
      <c r="G102">
        <v>800</v>
      </c>
      <c r="H102">
        <v>650</v>
      </c>
      <c r="I102">
        <v>20</v>
      </c>
      <c r="J102" s="6">
        <v>80.91</v>
      </c>
      <c r="K102" s="6">
        <v>76.37</v>
      </c>
      <c r="L102">
        <v>45</v>
      </c>
      <c r="M102" s="7">
        <v>2993.67</v>
      </c>
      <c r="N102" s="7">
        <v>350</v>
      </c>
      <c r="O102" s="7">
        <v>300</v>
      </c>
      <c r="P102" s="13" t="str">
        <f>IF(OR(tblClean[[#This Row],[Shift]]="",tblClean[[#This Row],[Actual_Units]]="",tblClean[[#This Row],[Raw_Material_Used_kg]]=""),"Review","OK")</f>
        <v>OK</v>
      </c>
      <c r="Q102" s="14">
        <f>IFERROR(tblClean[[#This Row],[Actual_Units]]/tblClean[[#This Row],[Planned_Units]],"")</f>
        <v>0.8125</v>
      </c>
      <c r="R102">
        <f>IF(OR(tblClean[[#This Row],[Actual_Units]]="",tblClean[[#This Row],[Planned_Units]]=""),"",tblClean[[#This Row],[Actual_Units]]-tblClean[[#This Row],[Planned_Units]])</f>
        <v>-150</v>
      </c>
      <c r="S102" s="14">
        <f>IFERROR(tblClean[[#This Row],[Defective_Units]]/tblClean[[#This Row],[Actual_Units]],"")</f>
        <v>3.0769230769230771E-2</v>
      </c>
      <c r="T102" s="6">
        <f>IF(OR(tblClean[[#This Row],[Raw_Material_Used_kg]]="",tblClean[[#This Row],[Standard_Material_kg]]=""),"",tblClean[[#This Row],[Raw_Material_Used_kg]]-tblClean[[#This Row],[Standard_Material_kg]])</f>
        <v>4.539999999999992</v>
      </c>
      <c r="U10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3643.67</v>
      </c>
      <c r="V10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5.7836031746031749</v>
      </c>
    </row>
    <row r="103" spans="1:22">
      <c r="A103" t="s">
        <v>146</v>
      </c>
      <c r="B103" s="5">
        <v>46272</v>
      </c>
      <c r="C103" t="s">
        <v>45</v>
      </c>
      <c r="D103" t="s">
        <v>46</v>
      </c>
      <c r="E103" t="s">
        <v>38</v>
      </c>
      <c r="F103" t="s">
        <v>34</v>
      </c>
      <c r="G103">
        <v>1200</v>
      </c>
      <c r="H103">
        <v>1230</v>
      </c>
      <c r="I103">
        <v>27</v>
      </c>
      <c r="J103" s="6">
        <v>112.35</v>
      </c>
      <c r="K103" s="6">
        <v>96.1</v>
      </c>
      <c r="L103">
        <v>45</v>
      </c>
      <c r="M103" s="7">
        <v>3145.8</v>
      </c>
      <c r="N103" s="7">
        <v>250</v>
      </c>
      <c r="O103" s="7">
        <v>180</v>
      </c>
      <c r="P103" s="13" t="str">
        <f>IF(OR(tblClean[[#This Row],[Shift]]="",tblClean[[#This Row],[Actual_Units]]="",tblClean[[#This Row],[Raw_Material_Used_kg]]=""),"Review","OK")</f>
        <v>OK</v>
      </c>
      <c r="Q103" s="14">
        <f>IFERROR(tblClean[[#This Row],[Actual_Units]]/tblClean[[#This Row],[Planned_Units]],"")</f>
        <v>1.0249999999999999</v>
      </c>
      <c r="R103">
        <f>IF(OR(tblClean[[#This Row],[Actual_Units]]="",tblClean[[#This Row],[Planned_Units]]=""),"",tblClean[[#This Row],[Actual_Units]]-tblClean[[#This Row],[Planned_Units]])</f>
        <v>30</v>
      </c>
      <c r="S103" s="14">
        <f>IFERROR(tblClean[[#This Row],[Defective_Units]]/tblClean[[#This Row],[Actual_Units]],"")</f>
        <v>2.1951219512195121E-2</v>
      </c>
      <c r="T103" s="6">
        <f>IF(OR(tblClean[[#This Row],[Raw_Material_Used_kg]]="",tblClean[[#This Row],[Standard_Material_kg]]=""),"",tblClean[[#This Row],[Raw_Material_Used_kg]]-tblClean[[#This Row],[Standard_Material_kg]])</f>
        <v>16.25</v>
      </c>
      <c r="U10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3575.8</v>
      </c>
      <c r="V10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2.9724023275145472</v>
      </c>
    </row>
    <row r="104" spans="1:22">
      <c r="A104" t="s">
        <v>147</v>
      </c>
      <c r="B104" s="5">
        <v>46294</v>
      </c>
      <c r="C104" t="s">
        <v>48</v>
      </c>
      <c r="D104" t="s">
        <v>49</v>
      </c>
      <c r="E104" t="s">
        <v>43</v>
      </c>
      <c r="F104" t="s">
        <v>39</v>
      </c>
      <c r="G104">
        <v>1100</v>
      </c>
      <c r="H104">
        <v>1111</v>
      </c>
      <c r="I104">
        <v>6</v>
      </c>
      <c r="J104" s="6">
        <v>98.46</v>
      </c>
      <c r="K104" s="6">
        <v>105.41</v>
      </c>
      <c r="L104">
        <v>30</v>
      </c>
      <c r="M104" s="7">
        <v>2756.88</v>
      </c>
      <c r="N104" s="7">
        <v>500</v>
      </c>
      <c r="O104" s="7">
        <v>275</v>
      </c>
      <c r="P104" s="13" t="str">
        <f>IF(OR(tblClean[[#This Row],[Shift]]="",tblClean[[#This Row],[Actual_Units]]="",tblClean[[#This Row],[Raw_Material_Used_kg]]=""),"Review","OK")</f>
        <v>OK</v>
      </c>
      <c r="Q104" s="14">
        <f>IFERROR(tblClean[[#This Row],[Actual_Units]]/tblClean[[#This Row],[Planned_Units]],"")</f>
        <v>1.01</v>
      </c>
      <c r="R104">
        <f>IF(OR(tblClean[[#This Row],[Actual_Units]]="",tblClean[[#This Row],[Planned_Units]]=""),"",tblClean[[#This Row],[Actual_Units]]-tblClean[[#This Row],[Planned_Units]])</f>
        <v>11</v>
      </c>
      <c r="S104" s="14">
        <f>IFERROR(tblClean[[#This Row],[Defective_Units]]/tblClean[[#This Row],[Actual_Units]],"")</f>
        <v>5.4005400540054005E-3</v>
      </c>
      <c r="T104" s="6">
        <f>IF(OR(tblClean[[#This Row],[Raw_Material_Used_kg]]="",tblClean[[#This Row],[Standard_Material_kg]]=""),"",tblClean[[#This Row],[Raw_Material_Used_kg]]-tblClean[[#This Row],[Standard_Material_kg]])</f>
        <v>-6.9500000000000028</v>
      </c>
      <c r="U10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3531.88</v>
      </c>
      <c r="V10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3.1962714932126697</v>
      </c>
    </row>
    <row r="105" spans="1:22">
      <c r="A105" t="s">
        <v>148</v>
      </c>
      <c r="B105" s="5">
        <v>46287</v>
      </c>
      <c r="C105" t="s">
        <v>45</v>
      </c>
      <c r="D105" t="s">
        <v>46</v>
      </c>
      <c r="E105" t="s">
        <v>43</v>
      </c>
      <c r="F105" t="s">
        <v>39</v>
      </c>
      <c r="G105">
        <v>1000</v>
      </c>
      <c r="H105">
        <v>761</v>
      </c>
      <c r="I105">
        <v>28</v>
      </c>
      <c r="J105" s="6">
        <v>89.2</v>
      </c>
      <c r="K105" s="6">
        <v>92.26</v>
      </c>
      <c r="L105">
        <v>0</v>
      </c>
      <c r="M105" s="7">
        <v>2765.2</v>
      </c>
      <c r="N105" s="7">
        <v>450</v>
      </c>
      <c r="O105" s="7">
        <v>225</v>
      </c>
      <c r="P105" s="13" t="str">
        <f>IF(OR(tblClean[[#This Row],[Shift]]="",tblClean[[#This Row],[Actual_Units]]="",tblClean[[#This Row],[Raw_Material_Used_kg]]=""),"Review","OK")</f>
        <v>OK</v>
      </c>
      <c r="Q105" s="14">
        <f>IFERROR(tblClean[[#This Row],[Actual_Units]]/tblClean[[#This Row],[Planned_Units]],"")</f>
        <v>0.76100000000000001</v>
      </c>
      <c r="R105">
        <f>IF(OR(tblClean[[#This Row],[Actual_Units]]="",tblClean[[#This Row],[Planned_Units]]=""),"",tblClean[[#This Row],[Actual_Units]]-tblClean[[#This Row],[Planned_Units]])</f>
        <v>-239</v>
      </c>
      <c r="S105" s="14">
        <f>IFERROR(tblClean[[#This Row],[Defective_Units]]/tblClean[[#This Row],[Actual_Units]],"")</f>
        <v>3.6793692509855452E-2</v>
      </c>
      <c r="T105" s="6">
        <f>IF(OR(tblClean[[#This Row],[Raw_Material_Used_kg]]="",tblClean[[#This Row],[Standard_Material_kg]]=""),"",tblClean[[#This Row],[Raw_Material_Used_kg]]-tblClean[[#This Row],[Standard_Material_kg]])</f>
        <v>-3.0600000000000023</v>
      </c>
      <c r="U10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3440.2</v>
      </c>
      <c r="V10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4.69331514324693</v>
      </c>
    </row>
    <row r="106" spans="1:22">
      <c r="A106" t="s">
        <v>149</v>
      </c>
      <c r="B106" s="5">
        <v>46271</v>
      </c>
      <c r="C106" t="s">
        <v>45</v>
      </c>
      <c r="D106" t="s">
        <v>46</v>
      </c>
      <c r="E106" t="s">
        <v>43</v>
      </c>
      <c r="F106" t="s">
        <v>41</v>
      </c>
      <c r="G106">
        <v>900</v>
      </c>
      <c r="H106">
        <v>962</v>
      </c>
      <c r="I106">
        <v>29</v>
      </c>
      <c r="J106" s="6">
        <v>108.78</v>
      </c>
      <c r="K106" s="6">
        <v>92.46</v>
      </c>
      <c r="L106">
        <v>45</v>
      </c>
      <c r="M106" s="7">
        <v>4024.86</v>
      </c>
      <c r="N106" s="7">
        <v>500</v>
      </c>
      <c r="O106" s="7">
        <v>300</v>
      </c>
      <c r="P106" s="13" t="str">
        <f>IF(OR(tblClean[[#This Row],[Shift]]="",tblClean[[#This Row],[Actual_Units]]="",tblClean[[#This Row],[Raw_Material_Used_kg]]=""),"Review","OK")</f>
        <v>OK</v>
      </c>
      <c r="Q106" s="14">
        <f>IFERROR(tblClean[[#This Row],[Actual_Units]]/tblClean[[#This Row],[Planned_Units]],"")</f>
        <v>1.068888888888889</v>
      </c>
      <c r="R106">
        <f>IF(OR(tblClean[[#This Row],[Actual_Units]]="",tblClean[[#This Row],[Planned_Units]]=""),"",tblClean[[#This Row],[Actual_Units]]-tblClean[[#This Row],[Planned_Units]])</f>
        <v>62</v>
      </c>
      <c r="S106" s="14">
        <f>IFERROR(tblClean[[#This Row],[Defective_Units]]/tblClean[[#This Row],[Actual_Units]],"")</f>
        <v>3.0145530145530147E-2</v>
      </c>
      <c r="T106" s="6">
        <f>IF(OR(tblClean[[#This Row],[Raw_Material_Used_kg]]="",tblClean[[#This Row],[Standard_Material_kg]]=""),"",tblClean[[#This Row],[Raw_Material_Used_kg]]-tblClean[[#This Row],[Standard_Material_kg]])</f>
        <v>16.320000000000007</v>
      </c>
      <c r="U10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4824.8600000000006</v>
      </c>
      <c r="V10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5.1713397642015009</v>
      </c>
    </row>
    <row r="107" spans="1:22">
      <c r="A107" t="s">
        <v>150</v>
      </c>
      <c r="B107" s="5">
        <v>46270</v>
      </c>
      <c r="C107" t="s">
        <v>31</v>
      </c>
      <c r="D107" t="s">
        <v>32</v>
      </c>
      <c r="E107" t="s">
        <v>43</v>
      </c>
      <c r="F107" t="s">
        <v>39</v>
      </c>
      <c r="G107">
        <v>800</v>
      </c>
      <c r="H107">
        <v>584</v>
      </c>
      <c r="I107">
        <v>25</v>
      </c>
      <c r="J107" s="6">
        <v>62.8</v>
      </c>
      <c r="K107" s="6">
        <v>78.62</v>
      </c>
      <c r="L107">
        <v>30</v>
      </c>
      <c r="M107" s="7">
        <v>2135.1999999999998</v>
      </c>
      <c r="N107" s="7">
        <v>300</v>
      </c>
      <c r="O107" s="7">
        <v>250</v>
      </c>
      <c r="P107" s="13" t="str">
        <f>IF(OR(tblClean[[#This Row],[Shift]]="",tblClean[[#This Row],[Actual_Units]]="",tblClean[[#This Row],[Raw_Material_Used_kg]]=""),"Review","OK")</f>
        <v>OK</v>
      </c>
      <c r="Q107" s="14">
        <f>IFERROR(tblClean[[#This Row],[Actual_Units]]/tblClean[[#This Row],[Planned_Units]],"")</f>
        <v>0.73</v>
      </c>
      <c r="R107">
        <f>IF(OR(tblClean[[#This Row],[Actual_Units]]="",tblClean[[#This Row],[Planned_Units]]=""),"",tblClean[[#This Row],[Actual_Units]]-tblClean[[#This Row],[Planned_Units]])</f>
        <v>-216</v>
      </c>
      <c r="S107" s="14">
        <f>IFERROR(tblClean[[#This Row],[Defective_Units]]/tblClean[[#This Row],[Actual_Units]],"")</f>
        <v>4.2808219178082189E-2</v>
      </c>
      <c r="T107" s="6">
        <f>IF(OR(tblClean[[#This Row],[Raw_Material_Used_kg]]="",tblClean[[#This Row],[Standard_Material_kg]]=""),"",tblClean[[#This Row],[Raw_Material_Used_kg]]-tblClean[[#This Row],[Standard_Material_kg]])</f>
        <v>-15.820000000000007</v>
      </c>
      <c r="U10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2685.2</v>
      </c>
      <c r="V10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4.8035778175313055</v>
      </c>
    </row>
    <row r="108" spans="1:22">
      <c r="A108" t="s">
        <v>151</v>
      </c>
      <c r="B108" s="5">
        <v>46293</v>
      </c>
      <c r="C108" t="s">
        <v>45</v>
      </c>
      <c r="D108" t="s">
        <v>46</v>
      </c>
      <c r="E108" t="s">
        <v>38</v>
      </c>
      <c r="F108" t="s">
        <v>39</v>
      </c>
      <c r="G108">
        <v>1000</v>
      </c>
      <c r="H108">
        <v>891</v>
      </c>
      <c r="I108">
        <v>9</v>
      </c>
      <c r="J108" s="6">
        <v>73.09</v>
      </c>
      <c r="K108" s="6">
        <v>108.92</v>
      </c>
      <c r="L108">
        <v>10</v>
      </c>
      <c r="M108" s="7">
        <v>2704.33</v>
      </c>
      <c r="N108" s="7">
        <v>350</v>
      </c>
      <c r="O108" s="7">
        <v>200</v>
      </c>
      <c r="P108" s="13" t="str">
        <f>IF(OR(tblClean[[#This Row],[Shift]]="",tblClean[[#This Row],[Actual_Units]]="",tblClean[[#This Row],[Raw_Material_Used_kg]]=""),"Review","OK")</f>
        <v>OK</v>
      </c>
      <c r="Q108" s="14">
        <f>IFERROR(tblClean[[#This Row],[Actual_Units]]/tblClean[[#This Row],[Planned_Units]],"")</f>
        <v>0.89100000000000001</v>
      </c>
      <c r="R108">
        <f>IF(OR(tblClean[[#This Row],[Actual_Units]]="",tblClean[[#This Row],[Planned_Units]]=""),"",tblClean[[#This Row],[Actual_Units]]-tblClean[[#This Row],[Planned_Units]])</f>
        <v>-109</v>
      </c>
      <c r="S108" s="14">
        <f>IFERROR(tblClean[[#This Row],[Defective_Units]]/tblClean[[#This Row],[Actual_Units]],"")</f>
        <v>1.0101010101010102E-2</v>
      </c>
      <c r="T108" s="6">
        <f>IF(OR(tblClean[[#This Row],[Raw_Material_Used_kg]]="",tblClean[[#This Row],[Standard_Material_kg]]=""),"",tblClean[[#This Row],[Raw_Material_Used_kg]]-tblClean[[#This Row],[Standard_Material_kg]])</f>
        <v>-35.83</v>
      </c>
      <c r="U10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3254.33</v>
      </c>
      <c r="V10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3.6897165532879819</v>
      </c>
    </row>
    <row r="109" spans="1:22">
      <c r="A109" t="s">
        <v>152</v>
      </c>
      <c r="B109" s="5">
        <v>46293</v>
      </c>
      <c r="C109" t="s">
        <v>31</v>
      </c>
      <c r="D109" t="s">
        <v>32</v>
      </c>
      <c r="E109" t="s">
        <v>33</v>
      </c>
      <c r="F109" t="s">
        <v>41</v>
      </c>
      <c r="G109">
        <v>900</v>
      </c>
      <c r="H109">
        <v>724</v>
      </c>
      <c r="I109">
        <v>16</v>
      </c>
      <c r="J109" s="6">
        <v>57.15</v>
      </c>
      <c r="K109" s="6">
        <v>96.18</v>
      </c>
      <c r="L109">
        <v>0</v>
      </c>
      <c r="M109" s="7">
        <v>1943.1</v>
      </c>
      <c r="N109" s="7">
        <v>400</v>
      </c>
      <c r="O109" s="7">
        <v>275</v>
      </c>
      <c r="P109" s="13" t="str">
        <f>IF(OR(tblClean[[#This Row],[Shift]]="",tblClean[[#This Row],[Actual_Units]]="",tblClean[[#This Row],[Raw_Material_Used_kg]]=""),"Review","OK")</f>
        <v>OK</v>
      </c>
      <c r="Q109" s="14">
        <f>IFERROR(tblClean[[#This Row],[Actual_Units]]/tblClean[[#This Row],[Planned_Units]],"")</f>
        <v>0.80444444444444441</v>
      </c>
      <c r="R109">
        <f>IF(OR(tblClean[[#This Row],[Actual_Units]]="",tblClean[[#This Row],[Planned_Units]]=""),"",tblClean[[#This Row],[Actual_Units]]-tblClean[[#This Row],[Planned_Units]])</f>
        <v>-176</v>
      </c>
      <c r="S109" s="14">
        <f>IFERROR(tblClean[[#This Row],[Defective_Units]]/tblClean[[#This Row],[Actual_Units]],"")</f>
        <v>2.2099447513812154E-2</v>
      </c>
      <c r="T109" s="6">
        <f>IF(OR(tblClean[[#This Row],[Raw_Material_Used_kg]]="",tblClean[[#This Row],[Standard_Material_kg]]=""),"",tblClean[[#This Row],[Raw_Material_Used_kg]]-tblClean[[#This Row],[Standard_Material_kg]])</f>
        <v>-39.030000000000008</v>
      </c>
      <c r="U10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2618.1</v>
      </c>
      <c r="V10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3.6978813559322035</v>
      </c>
    </row>
    <row r="110" spans="1:22">
      <c r="A110" t="s">
        <v>153</v>
      </c>
      <c r="B110" s="5">
        <v>46293</v>
      </c>
      <c r="C110" t="s">
        <v>31</v>
      </c>
      <c r="D110" t="s">
        <v>32</v>
      </c>
      <c r="E110" t="s">
        <v>38</v>
      </c>
      <c r="F110" t="s">
        <v>34</v>
      </c>
      <c r="G110">
        <v>1100</v>
      </c>
      <c r="H110">
        <v>809</v>
      </c>
      <c r="I110">
        <v>35</v>
      </c>
      <c r="J110" s="6">
        <v>76.819999999999993</v>
      </c>
      <c r="K110" s="6">
        <v>118.54</v>
      </c>
      <c r="L110">
        <v>20</v>
      </c>
      <c r="M110" s="7">
        <v>3072.8</v>
      </c>
      <c r="N110" s="7">
        <v>400</v>
      </c>
      <c r="O110" s="7">
        <v>275</v>
      </c>
      <c r="P110" s="13" t="str">
        <f>IF(OR(tblClean[[#This Row],[Shift]]="",tblClean[[#This Row],[Actual_Units]]="",tblClean[[#This Row],[Raw_Material_Used_kg]]=""),"Review","OK")</f>
        <v>OK</v>
      </c>
      <c r="Q110" s="14">
        <f>IFERROR(tblClean[[#This Row],[Actual_Units]]/tblClean[[#This Row],[Planned_Units]],"")</f>
        <v>0.73545454545454547</v>
      </c>
      <c r="R110">
        <f>IF(OR(tblClean[[#This Row],[Actual_Units]]="",tblClean[[#This Row],[Planned_Units]]=""),"",tblClean[[#This Row],[Actual_Units]]-tblClean[[#This Row],[Planned_Units]])</f>
        <v>-291</v>
      </c>
      <c r="S110" s="14">
        <f>IFERROR(tblClean[[#This Row],[Defective_Units]]/tblClean[[#This Row],[Actual_Units]],"")</f>
        <v>4.3263288009888753E-2</v>
      </c>
      <c r="T110" s="6">
        <f>IF(OR(tblClean[[#This Row],[Raw_Material_Used_kg]]="",tblClean[[#This Row],[Standard_Material_kg]]=""),"",tblClean[[#This Row],[Raw_Material_Used_kg]]-tblClean[[#This Row],[Standard_Material_kg]])</f>
        <v>-41.720000000000013</v>
      </c>
      <c r="U11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3747.8</v>
      </c>
      <c r="V11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4.8421188630490954</v>
      </c>
    </row>
    <row r="111" spans="1:22">
      <c r="A111" t="s">
        <v>154</v>
      </c>
      <c r="B111" s="5">
        <v>46295</v>
      </c>
      <c r="C111" t="s">
        <v>36</v>
      </c>
      <c r="D111" t="s">
        <v>37</v>
      </c>
      <c r="E111" t="s">
        <v>33</v>
      </c>
      <c r="F111" t="s">
        <v>39</v>
      </c>
      <c r="G111">
        <v>1100</v>
      </c>
      <c r="H111">
        <v>988</v>
      </c>
      <c r="I111">
        <v>54</v>
      </c>
      <c r="J111" s="6">
        <v>103.82</v>
      </c>
      <c r="K111" s="6">
        <v>99.49</v>
      </c>
      <c r="L111">
        <v>15</v>
      </c>
      <c r="M111" s="7">
        <v>3529.88</v>
      </c>
      <c r="N111" s="7">
        <v>500</v>
      </c>
      <c r="O111" s="7">
        <v>180</v>
      </c>
      <c r="P111" s="13" t="str">
        <f>IF(OR(tblClean[[#This Row],[Shift]]="",tblClean[[#This Row],[Actual_Units]]="",tblClean[[#This Row],[Raw_Material_Used_kg]]=""),"Review","OK")</f>
        <v>OK</v>
      </c>
      <c r="Q111" s="14">
        <f>IFERROR(tblClean[[#This Row],[Actual_Units]]/tblClean[[#This Row],[Planned_Units]],"")</f>
        <v>0.89818181818181819</v>
      </c>
      <c r="R111">
        <f>IF(OR(tblClean[[#This Row],[Actual_Units]]="",tblClean[[#This Row],[Planned_Units]]=""),"",tblClean[[#This Row],[Actual_Units]]-tblClean[[#This Row],[Planned_Units]])</f>
        <v>-112</v>
      </c>
      <c r="S111" s="14">
        <f>IFERROR(tblClean[[#This Row],[Defective_Units]]/tblClean[[#This Row],[Actual_Units]],"")</f>
        <v>5.4655870445344132E-2</v>
      </c>
      <c r="T111" s="6">
        <f>IF(OR(tblClean[[#This Row],[Raw_Material_Used_kg]]="",tblClean[[#This Row],[Standard_Material_kg]]=""),"",tblClean[[#This Row],[Raw_Material_Used_kg]]-tblClean[[#This Row],[Standard_Material_kg]])</f>
        <v>4.3299999999999983</v>
      </c>
      <c r="U111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4209.88</v>
      </c>
      <c r="V111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4.5073661670235543</v>
      </c>
    </row>
    <row r="112" spans="1:22">
      <c r="A112" t="s">
        <v>155</v>
      </c>
      <c r="B112" s="5">
        <v>46286</v>
      </c>
      <c r="C112" t="s">
        <v>36</v>
      </c>
      <c r="D112" t="s">
        <v>37</v>
      </c>
      <c r="E112" t="s">
        <v>38</v>
      </c>
      <c r="F112" t="s">
        <v>39</v>
      </c>
      <c r="G112">
        <v>800</v>
      </c>
      <c r="H112">
        <v>718</v>
      </c>
      <c r="I112">
        <v>21</v>
      </c>
      <c r="J112" s="6">
        <v>88.92</v>
      </c>
      <c r="K112" s="6">
        <v>65.959999999999994</v>
      </c>
      <c r="L112">
        <v>45</v>
      </c>
      <c r="M112" s="7">
        <v>3290.04</v>
      </c>
      <c r="N112" s="7">
        <v>350</v>
      </c>
      <c r="O112" s="7">
        <v>275</v>
      </c>
      <c r="P112" s="13" t="str">
        <f>IF(OR(tblClean[[#This Row],[Shift]]="",tblClean[[#This Row],[Actual_Units]]="",tblClean[[#This Row],[Raw_Material_Used_kg]]=""),"Review","OK")</f>
        <v>OK</v>
      </c>
      <c r="Q112" s="14">
        <f>IFERROR(tblClean[[#This Row],[Actual_Units]]/tblClean[[#This Row],[Planned_Units]],"")</f>
        <v>0.89749999999999996</v>
      </c>
      <c r="R112">
        <f>IF(OR(tblClean[[#This Row],[Actual_Units]]="",tblClean[[#This Row],[Planned_Units]]=""),"",tblClean[[#This Row],[Actual_Units]]-tblClean[[#This Row],[Planned_Units]])</f>
        <v>-82</v>
      </c>
      <c r="S112" s="14">
        <f>IFERROR(tblClean[[#This Row],[Defective_Units]]/tblClean[[#This Row],[Actual_Units]],"")</f>
        <v>2.9247910863509748E-2</v>
      </c>
      <c r="T112" s="6">
        <f>IF(OR(tblClean[[#This Row],[Raw_Material_Used_kg]]="",tblClean[[#This Row],[Standard_Material_kg]]=""),"",tblClean[[#This Row],[Raw_Material_Used_kg]]-tblClean[[#This Row],[Standard_Material_kg]])</f>
        <v>22.960000000000008</v>
      </c>
      <c r="U112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3915.04</v>
      </c>
      <c r="V112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5.6169870875179342</v>
      </c>
    </row>
    <row r="113" spans="1:22">
      <c r="A113" t="s">
        <v>156</v>
      </c>
      <c r="B113" s="5">
        <v>46270</v>
      </c>
      <c r="C113" t="s">
        <v>48</v>
      </c>
      <c r="D113" t="s">
        <v>49</v>
      </c>
      <c r="E113" t="s">
        <v>33</v>
      </c>
      <c r="F113" t="s">
        <v>39</v>
      </c>
      <c r="G113">
        <v>1000</v>
      </c>
      <c r="H113">
        <v>931</v>
      </c>
      <c r="I113">
        <v>5</v>
      </c>
      <c r="J113" s="6">
        <v>75.77</v>
      </c>
      <c r="K113" s="6">
        <v>102.61</v>
      </c>
      <c r="L113">
        <v>0</v>
      </c>
      <c r="M113" s="7">
        <v>2576.1799999999998</v>
      </c>
      <c r="N113" s="7">
        <v>250</v>
      </c>
      <c r="O113" s="7">
        <v>200</v>
      </c>
      <c r="P113" s="13" t="str">
        <f>IF(OR(tblClean[[#This Row],[Shift]]="",tblClean[[#This Row],[Actual_Units]]="",tblClean[[#This Row],[Raw_Material_Used_kg]]=""),"Review","OK")</f>
        <v>OK</v>
      </c>
      <c r="Q113" s="14">
        <f>IFERROR(tblClean[[#This Row],[Actual_Units]]/tblClean[[#This Row],[Planned_Units]],"")</f>
        <v>0.93100000000000005</v>
      </c>
      <c r="R113">
        <f>IF(OR(tblClean[[#This Row],[Actual_Units]]="",tblClean[[#This Row],[Planned_Units]]=""),"",tblClean[[#This Row],[Actual_Units]]-tblClean[[#This Row],[Planned_Units]])</f>
        <v>-69</v>
      </c>
      <c r="S113" s="14">
        <f>IFERROR(tblClean[[#This Row],[Defective_Units]]/tblClean[[#This Row],[Actual_Units]],"")</f>
        <v>5.3705692803437165E-3</v>
      </c>
      <c r="T113" s="6">
        <f>IF(OR(tblClean[[#This Row],[Raw_Material_Used_kg]]="",tblClean[[#This Row],[Standard_Material_kg]]=""),"",tblClean[[#This Row],[Raw_Material_Used_kg]]-tblClean[[#This Row],[Standard_Material_kg]])</f>
        <v>-26.840000000000003</v>
      </c>
      <c r="U113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3026.18</v>
      </c>
      <c r="V113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3.2680129589632827</v>
      </c>
    </row>
    <row r="114" spans="1:22">
      <c r="A114" t="s">
        <v>157</v>
      </c>
      <c r="B114" s="5">
        <v>46283</v>
      </c>
      <c r="C114" t="s">
        <v>48</v>
      </c>
      <c r="D114" t="s">
        <v>49</v>
      </c>
      <c r="E114" t="s">
        <v>43</v>
      </c>
      <c r="F114" t="s">
        <v>41</v>
      </c>
      <c r="G114">
        <v>1300</v>
      </c>
      <c r="H114">
        <v>967</v>
      </c>
      <c r="I114">
        <v>37</v>
      </c>
      <c r="J114" s="6">
        <v>85.63</v>
      </c>
      <c r="K114" s="6">
        <v>104.97</v>
      </c>
      <c r="L114">
        <v>0</v>
      </c>
      <c r="M114" s="7">
        <v>2397.64</v>
      </c>
      <c r="N114" s="7">
        <v>450</v>
      </c>
      <c r="O114" s="7">
        <v>250</v>
      </c>
      <c r="P114" s="13" t="str">
        <f>IF(OR(tblClean[[#This Row],[Shift]]="",tblClean[[#This Row],[Actual_Units]]="",tblClean[[#This Row],[Raw_Material_Used_kg]]=""),"Review","OK")</f>
        <v>OK</v>
      </c>
      <c r="Q114" s="14">
        <f>IFERROR(tblClean[[#This Row],[Actual_Units]]/tblClean[[#This Row],[Planned_Units]],"")</f>
        <v>0.74384615384615382</v>
      </c>
      <c r="R114">
        <f>IF(OR(tblClean[[#This Row],[Actual_Units]]="",tblClean[[#This Row],[Planned_Units]]=""),"",tblClean[[#This Row],[Actual_Units]]-tblClean[[#This Row],[Planned_Units]])</f>
        <v>-333</v>
      </c>
      <c r="S114" s="14">
        <f>IFERROR(tblClean[[#This Row],[Defective_Units]]/tblClean[[#This Row],[Actual_Units]],"")</f>
        <v>3.8262668045501554E-2</v>
      </c>
      <c r="T114" s="6">
        <f>IF(OR(tblClean[[#This Row],[Raw_Material_Used_kg]]="",tblClean[[#This Row],[Standard_Material_kg]]=""),"",tblClean[[#This Row],[Raw_Material_Used_kg]]-tblClean[[#This Row],[Standard_Material_kg]])</f>
        <v>-19.340000000000003</v>
      </c>
      <c r="U114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3097.64</v>
      </c>
      <c r="V114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3.3307956989247312</v>
      </c>
    </row>
    <row r="115" spans="1:22">
      <c r="A115" t="s">
        <v>158</v>
      </c>
      <c r="B115" s="5">
        <v>46293</v>
      </c>
      <c r="C115" t="s">
        <v>45</v>
      </c>
      <c r="D115" t="s">
        <v>46</v>
      </c>
      <c r="E115" t="s">
        <v>33</v>
      </c>
      <c r="F115" t="s">
        <v>41</v>
      </c>
      <c r="G115">
        <v>1000</v>
      </c>
      <c r="H115">
        <v>938</v>
      </c>
      <c r="I115">
        <v>35</v>
      </c>
      <c r="J115" s="6">
        <v>105.43</v>
      </c>
      <c r="K115" s="6">
        <v>102.59</v>
      </c>
      <c r="L115">
        <v>5</v>
      </c>
      <c r="M115" s="7">
        <v>3584.62</v>
      </c>
      <c r="N115" s="7">
        <v>500</v>
      </c>
      <c r="O115" s="7">
        <v>300</v>
      </c>
      <c r="P115" s="13" t="str">
        <f>IF(OR(tblClean[[#This Row],[Shift]]="",tblClean[[#This Row],[Actual_Units]]="",tblClean[[#This Row],[Raw_Material_Used_kg]]=""),"Review","OK")</f>
        <v>OK</v>
      </c>
      <c r="Q115" s="14">
        <f>IFERROR(tblClean[[#This Row],[Actual_Units]]/tblClean[[#This Row],[Planned_Units]],"")</f>
        <v>0.93799999999999994</v>
      </c>
      <c r="R115">
        <f>IF(OR(tblClean[[#This Row],[Actual_Units]]="",tblClean[[#This Row],[Planned_Units]]=""),"",tblClean[[#This Row],[Actual_Units]]-tblClean[[#This Row],[Planned_Units]])</f>
        <v>-62</v>
      </c>
      <c r="S115" s="14">
        <f>IFERROR(tblClean[[#This Row],[Defective_Units]]/tblClean[[#This Row],[Actual_Units]],"")</f>
        <v>3.7313432835820892E-2</v>
      </c>
      <c r="T115" s="6">
        <f>IF(OR(tblClean[[#This Row],[Raw_Material_Used_kg]]="",tblClean[[#This Row],[Standard_Material_kg]]=""),"",tblClean[[#This Row],[Raw_Material_Used_kg]]-tblClean[[#This Row],[Standard_Material_kg]])</f>
        <v>2.8400000000000034</v>
      </c>
      <c r="U115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4384.62</v>
      </c>
      <c r="V115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4.8556146179401996</v>
      </c>
    </row>
    <row r="116" spans="1:22">
      <c r="A116" t="s">
        <v>159</v>
      </c>
      <c r="B116" s="5">
        <v>46290</v>
      </c>
      <c r="C116" t="s">
        <v>36</v>
      </c>
      <c r="D116" t="s">
        <v>37</v>
      </c>
      <c r="E116" t="s">
        <v>43</v>
      </c>
      <c r="F116" t="s">
        <v>39</v>
      </c>
      <c r="G116">
        <v>800</v>
      </c>
      <c r="H116">
        <v>727</v>
      </c>
      <c r="I116">
        <v>17</v>
      </c>
      <c r="J116" s="6">
        <v>94.35</v>
      </c>
      <c r="K116" s="6">
        <v>86.53</v>
      </c>
      <c r="L116">
        <v>20</v>
      </c>
      <c r="M116" s="7">
        <v>3774</v>
      </c>
      <c r="N116" s="7">
        <v>350</v>
      </c>
      <c r="O116" s="7">
        <v>225</v>
      </c>
      <c r="P116" s="13" t="str">
        <f>IF(OR(tblClean[[#This Row],[Shift]]="",tblClean[[#This Row],[Actual_Units]]="",tblClean[[#This Row],[Raw_Material_Used_kg]]=""),"Review","OK")</f>
        <v>OK</v>
      </c>
      <c r="Q116" s="14">
        <f>IFERROR(tblClean[[#This Row],[Actual_Units]]/tblClean[[#This Row],[Planned_Units]],"")</f>
        <v>0.90874999999999995</v>
      </c>
      <c r="R116">
        <f>IF(OR(tblClean[[#This Row],[Actual_Units]]="",tblClean[[#This Row],[Planned_Units]]=""),"",tblClean[[#This Row],[Actual_Units]]-tblClean[[#This Row],[Planned_Units]])</f>
        <v>-73</v>
      </c>
      <c r="S116" s="14">
        <f>IFERROR(tblClean[[#This Row],[Defective_Units]]/tblClean[[#This Row],[Actual_Units]],"")</f>
        <v>2.3383768913342505E-2</v>
      </c>
      <c r="T116" s="6">
        <f>IF(OR(tblClean[[#This Row],[Raw_Material_Used_kg]]="",tblClean[[#This Row],[Standard_Material_kg]]=""),"",tblClean[[#This Row],[Raw_Material_Used_kg]]-tblClean[[#This Row],[Standard_Material_kg]])</f>
        <v>7.8199999999999932</v>
      </c>
      <c r="U116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4349</v>
      </c>
      <c r="V116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6.1253521126760564</v>
      </c>
    </row>
    <row r="117" spans="1:22">
      <c r="A117" t="s">
        <v>160</v>
      </c>
      <c r="B117" s="5">
        <v>46277</v>
      </c>
      <c r="C117" t="s">
        <v>45</v>
      </c>
      <c r="D117" t="s">
        <v>46</v>
      </c>
      <c r="E117" t="s">
        <v>43</v>
      </c>
      <c r="F117" t="s">
        <v>34</v>
      </c>
      <c r="G117">
        <v>800</v>
      </c>
      <c r="H117">
        <v>716</v>
      </c>
      <c r="I117">
        <v>6</v>
      </c>
      <c r="J117" s="6">
        <v>89.55</v>
      </c>
      <c r="K117" s="6">
        <v>85.86</v>
      </c>
      <c r="L117">
        <v>20</v>
      </c>
      <c r="M117" s="7">
        <v>3582</v>
      </c>
      <c r="N117" s="7">
        <v>400</v>
      </c>
      <c r="O117" s="7">
        <v>300</v>
      </c>
      <c r="P117" s="13" t="str">
        <f>IF(OR(tblClean[[#This Row],[Shift]]="",tblClean[[#This Row],[Actual_Units]]="",tblClean[[#This Row],[Raw_Material_Used_kg]]=""),"Review","OK")</f>
        <v>OK</v>
      </c>
      <c r="Q117" s="14">
        <f>IFERROR(tblClean[[#This Row],[Actual_Units]]/tblClean[[#This Row],[Planned_Units]],"")</f>
        <v>0.89500000000000002</v>
      </c>
      <c r="R117">
        <f>IF(OR(tblClean[[#This Row],[Actual_Units]]="",tblClean[[#This Row],[Planned_Units]]=""),"",tblClean[[#This Row],[Actual_Units]]-tblClean[[#This Row],[Planned_Units]])</f>
        <v>-84</v>
      </c>
      <c r="S117" s="14">
        <f>IFERROR(tblClean[[#This Row],[Defective_Units]]/tblClean[[#This Row],[Actual_Units]],"")</f>
        <v>8.3798882681564244E-3</v>
      </c>
      <c r="T117" s="6">
        <f>IF(OR(tblClean[[#This Row],[Raw_Material_Used_kg]]="",tblClean[[#This Row],[Standard_Material_kg]]=""),"",tblClean[[#This Row],[Raw_Material_Used_kg]]-tblClean[[#This Row],[Standard_Material_kg]])</f>
        <v>3.6899999999999977</v>
      </c>
      <c r="U117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4282</v>
      </c>
      <c r="V117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6.0309859154929581</v>
      </c>
    </row>
    <row r="118" spans="1:22">
      <c r="A118" t="s">
        <v>161</v>
      </c>
      <c r="B118" s="5">
        <v>46286</v>
      </c>
      <c r="C118" t="s">
        <v>36</v>
      </c>
      <c r="D118" t="s">
        <v>37</v>
      </c>
      <c r="E118" t="s">
        <v>38</v>
      </c>
      <c r="F118" t="s">
        <v>41</v>
      </c>
      <c r="G118">
        <v>1100</v>
      </c>
      <c r="H118">
        <v>1069</v>
      </c>
      <c r="I118">
        <v>15</v>
      </c>
      <c r="J118" s="6">
        <v>104.41</v>
      </c>
      <c r="K118" s="6">
        <v>96.8</v>
      </c>
      <c r="L118">
        <v>30</v>
      </c>
      <c r="M118" s="7">
        <v>3549.94</v>
      </c>
      <c r="N118" s="7">
        <v>400</v>
      </c>
      <c r="O118" s="7">
        <v>200</v>
      </c>
      <c r="P118" s="13" t="str">
        <f>IF(OR(tblClean[[#This Row],[Shift]]="",tblClean[[#This Row],[Actual_Units]]="",tblClean[[#This Row],[Raw_Material_Used_kg]]=""),"Review","OK")</f>
        <v>OK</v>
      </c>
      <c r="Q118" s="14">
        <f>IFERROR(tblClean[[#This Row],[Actual_Units]]/tblClean[[#This Row],[Planned_Units]],"")</f>
        <v>0.9718181818181818</v>
      </c>
      <c r="R118">
        <f>IF(OR(tblClean[[#This Row],[Actual_Units]]="",tblClean[[#This Row],[Planned_Units]]=""),"",tblClean[[#This Row],[Actual_Units]]-tblClean[[#This Row],[Planned_Units]])</f>
        <v>-31</v>
      </c>
      <c r="S118" s="14">
        <f>IFERROR(tblClean[[#This Row],[Defective_Units]]/tblClean[[#This Row],[Actual_Units]],"")</f>
        <v>1.4031805425631431E-2</v>
      </c>
      <c r="T118" s="6">
        <f>IF(OR(tblClean[[#This Row],[Raw_Material_Used_kg]]="",tblClean[[#This Row],[Standard_Material_kg]]=""),"",tblClean[[#This Row],[Raw_Material_Used_kg]]-tblClean[[#This Row],[Standard_Material_kg]])</f>
        <v>7.6099999999999994</v>
      </c>
      <c r="U118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4149.9400000000005</v>
      </c>
      <c r="V118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3.9373244781783687</v>
      </c>
    </row>
    <row r="119" spans="1:22">
      <c r="A119" t="s">
        <v>162</v>
      </c>
      <c r="B119" s="5">
        <v>46282</v>
      </c>
      <c r="C119" t="s">
        <v>31</v>
      </c>
      <c r="D119" t="s">
        <v>32</v>
      </c>
      <c r="E119" t="s">
        <v>38</v>
      </c>
      <c r="F119" t="s">
        <v>41</v>
      </c>
      <c r="G119">
        <v>1200</v>
      </c>
      <c r="H119">
        <v>929</v>
      </c>
      <c r="I119">
        <v>18</v>
      </c>
      <c r="J119" s="6">
        <v>119.47</v>
      </c>
      <c r="K119" s="6">
        <v>100.45</v>
      </c>
      <c r="L119">
        <v>75</v>
      </c>
      <c r="M119" s="7">
        <v>4420.3900000000003</v>
      </c>
      <c r="N119" s="7">
        <v>450</v>
      </c>
      <c r="O119" s="7">
        <v>200</v>
      </c>
      <c r="P119" s="13" t="str">
        <f>IF(OR(tblClean[[#This Row],[Shift]]="",tblClean[[#This Row],[Actual_Units]]="",tblClean[[#This Row],[Raw_Material_Used_kg]]=""),"Review","OK")</f>
        <v>OK</v>
      </c>
      <c r="Q119" s="14">
        <f>IFERROR(tblClean[[#This Row],[Actual_Units]]/tblClean[[#This Row],[Planned_Units]],"")</f>
        <v>0.77416666666666667</v>
      </c>
      <c r="R119">
        <f>IF(OR(tblClean[[#This Row],[Actual_Units]]="",tblClean[[#This Row],[Planned_Units]]=""),"",tblClean[[#This Row],[Actual_Units]]-tblClean[[#This Row],[Planned_Units]])</f>
        <v>-271</v>
      </c>
      <c r="S119" s="14">
        <f>IFERROR(tblClean[[#This Row],[Defective_Units]]/tblClean[[#This Row],[Actual_Units]],"")</f>
        <v>1.9375672766415501E-2</v>
      </c>
      <c r="T119" s="6">
        <f>IF(OR(tblClean[[#This Row],[Raw_Material_Used_kg]]="",tblClean[[#This Row],[Standard_Material_kg]]=""),"",tblClean[[#This Row],[Raw_Material_Used_kg]]-tblClean[[#This Row],[Standard_Material_kg]])</f>
        <v>19.019999999999996</v>
      </c>
      <c r="U119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5070.3900000000003</v>
      </c>
      <c r="V119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5.5657409440175636</v>
      </c>
    </row>
    <row r="120" spans="1:22">
      <c r="A120" t="s">
        <v>163</v>
      </c>
      <c r="B120" s="5">
        <v>46271</v>
      </c>
      <c r="C120" t="s">
        <v>45</v>
      </c>
      <c r="D120" t="s">
        <v>46</v>
      </c>
      <c r="E120" t="s">
        <v>33</v>
      </c>
      <c r="F120" t="s">
        <v>34</v>
      </c>
      <c r="G120">
        <v>1200</v>
      </c>
      <c r="H120">
        <v>1024</v>
      </c>
      <c r="I120">
        <v>54</v>
      </c>
      <c r="J120" s="6">
        <v>121.81</v>
      </c>
      <c r="K120" s="6">
        <v>122.57</v>
      </c>
      <c r="L120">
        <v>75</v>
      </c>
      <c r="M120" s="7">
        <v>4141.54</v>
      </c>
      <c r="N120" s="7">
        <v>300</v>
      </c>
      <c r="O120" s="7">
        <v>300</v>
      </c>
      <c r="P120" s="13" t="str">
        <f>IF(OR(tblClean[[#This Row],[Shift]]="",tblClean[[#This Row],[Actual_Units]]="",tblClean[[#This Row],[Raw_Material_Used_kg]]=""),"Review","OK")</f>
        <v>OK</v>
      </c>
      <c r="Q120" s="14">
        <f>IFERROR(tblClean[[#This Row],[Actual_Units]]/tblClean[[#This Row],[Planned_Units]],"")</f>
        <v>0.85333333333333339</v>
      </c>
      <c r="R120">
        <f>IF(OR(tblClean[[#This Row],[Actual_Units]]="",tblClean[[#This Row],[Planned_Units]]=""),"",tblClean[[#This Row],[Actual_Units]]-tblClean[[#This Row],[Planned_Units]])</f>
        <v>-176</v>
      </c>
      <c r="S120" s="14">
        <f>IFERROR(tblClean[[#This Row],[Defective_Units]]/tblClean[[#This Row],[Actual_Units]],"")</f>
        <v>5.2734375E-2</v>
      </c>
      <c r="T120" s="6">
        <f>IF(OR(tblClean[[#This Row],[Raw_Material_Used_kg]]="",tblClean[[#This Row],[Standard_Material_kg]]=""),"",tblClean[[#This Row],[Raw_Material_Used_kg]]-tblClean[[#This Row],[Standard_Material_kg]])</f>
        <v>-0.75999999999999091</v>
      </c>
      <c r="U120" s="6">
        <f>IF(OR(tblClean[[#This Row],[Material_Cost_GHc]]="",tblClean[[#This Row],[Labour_Cost_GHc]]="",tblClean[[#This Row],[Overhead_Cost_GHc]]=""),"",SUM(tblClean[[#This Row],[Material_Cost_GHc]],tblClean[[#This Row],[Labour_Cost_GHc]],tblClean[[#This Row],[Overhead_Cost_GHc]]))</f>
        <v>4741.54</v>
      </c>
      <c r="V120" s="6">
        <f>IFERROR(IF(OR(tblClean[[#This Row],[Actual_Units]]="",tblClean[[#This Row],[Defective_Units]]="",tblClean[[#This Row],[Total_Cost_GHc]]="",tblClean[[#This Row],[Actual_Units]]&lt;=tblClean[[#This Row],[Defective_Units]],tblClean[[#This Row],[Defective_Units]]&lt;0),"",tblClean[[#This Row],[Total_Cost_GHc]]/(tblClean[[#This Row],[Actual_Units]]-tblClean[[#This Row],[Defective_Units]])),"")</f>
        <v>4.8881855670103089</v>
      </c>
    </row>
    <row r="124" spans="1:22">
      <c r="D124" t="s">
        <v>177</v>
      </c>
    </row>
  </sheetData>
  <conditionalFormatting sqref="A1:A120 A122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84FC-B3EA-4ABD-9440-F3B7B93EB1D9}">
  <dimension ref="A1:D6"/>
  <sheetViews>
    <sheetView workbookViewId="0">
      <selection activeCell="C13" sqref="C13"/>
    </sheetView>
  </sheetViews>
  <sheetFormatPr defaultRowHeight="15"/>
  <cols>
    <col min="1" max="1" width="26" bestFit="1" customWidth="1"/>
    <col min="2" max="2" width="42.42578125" bestFit="1" customWidth="1"/>
    <col min="3" max="3" width="34.85546875" bestFit="1" customWidth="1"/>
    <col min="4" max="4" width="16" bestFit="1" customWidth="1"/>
  </cols>
  <sheetData>
    <row r="1" spans="1:4" ht="15.75" customHeight="1">
      <c r="A1" s="9" t="s">
        <v>164</v>
      </c>
      <c r="B1" s="9" t="s">
        <v>165</v>
      </c>
      <c r="C1" s="9" t="s">
        <v>166</v>
      </c>
      <c r="D1" s="9" t="s">
        <v>167</v>
      </c>
    </row>
    <row r="2" spans="1:4" ht="18" customHeight="1">
      <c r="A2" s="10" t="s">
        <v>168</v>
      </c>
      <c r="B2" s="10" t="s">
        <v>180</v>
      </c>
      <c r="C2" s="10" t="s">
        <v>169</v>
      </c>
      <c r="D2" s="10">
        <v>1</v>
      </c>
    </row>
    <row r="3" spans="1:4" ht="25.5" customHeight="1">
      <c r="A3" s="10" t="s">
        <v>170</v>
      </c>
      <c r="B3" s="10" t="s">
        <v>181</v>
      </c>
      <c r="C3" s="10" t="s">
        <v>179</v>
      </c>
      <c r="D3" s="10">
        <v>35</v>
      </c>
    </row>
    <row r="4" spans="1:4" ht="31.5">
      <c r="A4" s="11" t="s">
        <v>171</v>
      </c>
      <c r="B4" s="10" t="s">
        <v>182</v>
      </c>
      <c r="C4" s="10" t="s">
        <v>172</v>
      </c>
      <c r="D4" s="10">
        <v>1</v>
      </c>
    </row>
    <row r="5" spans="1:4" ht="18.75" customHeight="1">
      <c r="A5" s="10" t="s">
        <v>173</v>
      </c>
      <c r="B5" s="10" t="s">
        <v>182</v>
      </c>
      <c r="C5" s="10" t="s">
        <v>174</v>
      </c>
      <c r="D5" s="10">
        <v>1</v>
      </c>
    </row>
    <row r="6" spans="1:4" ht="31.5">
      <c r="A6" s="10" t="s">
        <v>175</v>
      </c>
      <c r="B6" s="10" t="s">
        <v>182</v>
      </c>
      <c r="C6" s="10" t="s">
        <v>176</v>
      </c>
      <c r="D6" s="1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2385-1450-4E75-9BD0-DEB64389231B}">
  <dimension ref="A1:G21"/>
  <sheetViews>
    <sheetView tabSelected="1" workbookViewId="0">
      <selection activeCell="A11" sqref="A11"/>
    </sheetView>
  </sheetViews>
  <sheetFormatPr defaultRowHeight="15"/>
  <cols>
    <col min="1" max="1" width="22" bestFit="1" customWidth="1"/>
    <col min="2" max="2" width="20.7109375" bestFit="1" customWidth="1"/>
    <col min="3" max="3" width="13.28515625" bestFit="1" customWidth="1"/>
    <col min="4" max="4" width="12.28515625" bestFit="1" customWidth="1"/>
    <col min="5" max="5" width="25.140625" bestFit="1" customWidth="1"/>
    <col min="6" max="6" width="17.5703125" bestFit="1" customWidth="1"/>
    <col min="7" max="7" width="97.85546875" bestFit="1" customWidth="1"/>
  </cols>
  <sheetData>
    <row r="1" spans="1:7" ht="27" customHeight="1" thickBot="1">
      <c r="A1" s="20" t="s">
        <v>200</v>
      </c>
      <c r="B1" s="20" t="s">
        <v>201</v>
      </c>
      <c r="C1" s="20" t="s">
        <v>202</v>
      </c>
      <c r="D1" s="20" t="s">
        <v>203</v>
      </c>
      <c r="E1" s="20" t="s">
        <v>204</v>
      </c>
      <c r="F1" s="20" t="s">
        <v>205</v>
      </c>
      <c r="G1" s="20" t="s">
        <v>206</v>
      </c>
    </row>
    <row r="2" spans="1:7" ht="31.5">
      <c r="A2" s="21" t="s">
        <v>207</v>
      </c>
      <c r="B2" s="21" t="s">
        <v>208</v>
      </c>
      <c r="C2" s="22">
        <v>88.75</v>
      </c>
      <c r="D2" s="22">
        <v>89.6</v>
      </c>
      <c r="E2" s="22">
        <f>D2-C2</f>
        <v>0.84999999999999432</v>
      </c>
      <c r="F2" s="23" t="str">
        <f>IF(E2="","Pending",IF(ABS(E2)&lt;0.01,"Match","Investigate"))</f>
        <v>Investigate</v>
      </c>
      <c r="G2" s="21" t="s">
        <v>209</v>
      </c>
    </row>
    <row r="3" spans="1:7" ht="15.75">
      <c r="A3" s="21" t="s">
        <v>207</v>
      </c>
      <c r="B3" s="21" t="s">
        <v>48</v>
      </c>
      <c r="C3" s="22">
        <v>90.47</v>
      </c>
      <c r="D3" s="22">
        <v>90.47</v>
      </c>
      <c r="E3" s="22">
        <f>D3-C3</f>
        <v>0</v>
      </c>
      <c r="F3" s="23" t="str">
        <f>IF(E3="","Pending",IF(ABS(E3)&lt;0.01,"Match","Investigate"))</f>
        <v>Match</v>
      </c>
      <c r="G3" s="21" t="s">
        <v>210</v>
      </c>
    </row>
    <row r="4" spans="1:7" ht="31.5">
      <c r="A4" s="21" t="s">
        <v>207</v>
      </c>
      <c r="B4" s="21" t="s">
        <v>31</v>
      </c>
      <c r="C4" s="22"/>
      <c r="D4" s="22">
        <v>90.78</v>
      </c>
      <c r="E4" s="22"/>
      <c r="F4" s="23" t="s">
        <v>211</v>
      </c>
      <c r="G4" s="21" t="s">
        <v>212</v>
      </c>
    </row>
    <row r="5" spans="1:7" ht="15.75">
      <c r="A5" s="21" t="s">
        <v>207</v>
      </c>
      <c r="B5" s="21" t="s">
        <v>36</v>
      </c>
      <c r="C5" s="22">
        <v>89.34</v>
      </c>
      <c r="D5" s="22">
        <v>89.34</v>
      </c>
      <c r="E5" s="22">
        <f t="shared" ref="E5:E12" si="0">D5-C5</f>
        <v>0</v>
      </c>
      <c r="F5" s="23" t="str">
        <f t="shared" ref="F5:F12" si="1">IF(E5="","Pending",IF(ABS(E5)&lt;0.01,"Match","Investigate"))</f>
        <v>Match</v>
      </c>
      <c r="G5" s="21" t="s">
        <v>210</v>
      </c>
    </row>
    <row r="6" spans="1:7" ht="15.75">
      <c r="A6" s="21" t="s">
        <v>207</v>
      </c>
      <c r="B6" s="21" t="s">
        <v>45</v>
      </c>
      <c r="C6" s="22">
        <v>88.37</v>
      </c>
      <c r="D6" s="22">
        <v>88.37</v>
      </c>
      <c r="E6" s="22">
        <f t="shared" si="0"/>
        <v>0</v>
      </c>
      <c r="F6" s="23" t="str">
        <f t="shared" si="1"/>
        <v>Match</v>
      </c>
      <c r="G6" s="21" t="s">
        <v>210</v>
      </c>
    </row>
    <row r="7" spans="1:7" ht="15.75">
      <c r="A7" s="21" t="s">
        <v>213</v>
      </c>
      <c r="B7" s="21" t="s">
        <v>33</v>
      </c>
      <c r="C7" s="22">
        <v>3.21</v>
      </c>
      <c r="D7" s="22">
        <v>3.21</v>
      </c>
      <c r="E7" s="22">
        <f t="shared" si="0"/>
        <v>0</v>
      </c>
      <c r="F7" s="23" t="str">
        <f t="shared" si="1"/>
        <v>Match</v>
      </c>
      <c r="G7" s="21" t="s">
        <v>214</v>
      </c>
    </row>
    <row r="8" spans="1:7" ht="31.5">
      <c r="A8" s="21" t="s">
        <v>213</v>
      </c>
      <c r="B8" s="21" t="s">
        <v>38</v>
      </c>
      <c r="C8" s="22">
        <v>2.63</v>
      </c>
      <c r="D8" s="22">
        <v>2.83</v>
      </c>
      <c r="E8" s="22">
        <f t="shared" si="0"/>
        <v>0.20000000000000018</v>
      </c>
      <c r="F8" s="23" t="str">
        <f t="shared" si="1"/>
        <v>Investigate</v>
      </c>
      <c r="G8" s="21" t="s">
        <v>215</v>
      </c>
    </row>
    <row r="9" spans="1:7" ht="31.5">
      <c r="A9" s="21" t="s">
        <v>213</v>
      </c>
      <c r="B9" s="21" t="s">
        <v>43</v>
      </c>
      <c r="C9" s="22">
        <v>2.95</v>
      </c>
      <c r="D9" s="22">
        <v>2.63</v>
      </c>
      <c r="E9" s="22">
        <f t="shared" si="0"/>
        <v>-0.32000000000000028</v>
      </c>
      <c r="F9" s="23" t="str">
        <f t="shared" si="1"/>
        <v>Investigate</v>
      </c>
      <c r="G9" s="21" t="s">
        <v>216</v>
      </c>
    </row>
    <row r="10" spans="1:7" ht="15.75">
      <c r="A10" s="21" t="s">
        <v>217</v>
      </c>
      <c r="B10" s="21" t="s">
        <v>218</v>
      </c>
      <c r="C10" s="24">
        <v>1335</v>
      </c>
      <c r="D10" s="24">
        <v>1335</v>
      </c>
      <c r="E10" s="24">
        <f t="shared" si="0"/>
        <v>0</v>
      </c>
      <c r="F10" s="23" t="str">
        <f t="shared" si="1"/>
        <v>Match</v>
      </c>
      <c r="G10" s="21" t="s">
        <v>219</v>
      </c>
    </row>
    <row r="11" spans="1:7" ht="15.75">
      <c r="A11" s="21" t="s">
        <v>217</v>
      </c>
      <c r="B11" s="21" t="s">
        <v>220</v>
      </c>
      <c r="C11" s="24">
        <v>950</v>
      </c>
      <c r="D11" s="24">
        <v>950</v>
      </c>
      <c r="E11" s="24">
        <f t="shared" si="0"/>
        <v>0</v>
      </c>
      <c r="F11" s="23" t="str">
        <f t="shared" si="1"/>
        <v>Match</v>
      </c>
      <c r="G11" s="21" t="s">
        <v>219</v>
      </c>
    </row>
    <row r="12" spans="1:7" ht="15.75">
      <c r="A12" s="21" t="s">
        <v>217</v>
      </c>
      <c r="B12" s="21" t="s">
        <v>221</v>
      </c>
      <c r="C12" s="24">
        <v>905</v>
      </c>
      <c r="D12" s="24">
        <v>905</v>
      </c>
      <c r="E12" s="24">
        <f t="shared" si="0"/>
        <v>0</v>
      </c>
      <c r="F12" s="23" t="str">
        <f t="shared" si="1"/>
        <v>Match</v>
      </c>
      <c r="G12" s="21" t="s">
        <v>222</v>
      </c>
    </row>
    <row r="13" spans="1:7" ht="15.75">
      <c r="A13" s="21" t="s">
        <v>217</v>
      </c>
      <c r="B13" s="21" t="s">
        <v>223</v>
      </c>
      <c r="C13" s="24">
        <v>60</v>
      </c>
      <c r="D13" s="24"/>
      <c r="E13" s="24"/>
      <c r="F13" s="23" t="s">
        <v>211</v>
      </c>
      <c r="G13" s="21" t="s">
        <v>224</v>
      </c>
    </row>
    <row r="14" spans="1:7" ht="15.75">
      <c r="A14" s="21" t="s">
        <v>225</v>
      </c>
      <c r="B14" s="21" t="s">
        <v>36</v>
      </c>
      <c r="C14" s="25"/>
      <c r="D14" s="25">
        <v>24.680000305</v>
      </c>
      <c r="E14" s="25"/>
      <c r="F14" s="23" t="s">
        <v>211</v>
      </c>
      <c r="G14" s="21" t="s">
        <v>226</v>
      </c>
    </row>
    <row r="15" spans="1:7" ht="15.75">
      <c r="A15" s="21" t="s">
        <v>225</v>
      </c>
      <c r="B15" s="21" t="s">
        <v>31</v>
      </c>
      <c r="C15" s="25"/>
      <c r="D15" s="25">
        <v>19.540027609999999</v>
      </c>
      <c r="E15" s="25"/>
      <c r="F15" s="23" t="s">
        <v>211</v>
      </c>
      <c r="G15" s="21" t="s">
        <v>226</v>
      </c>
    </row>
    <row r="16" spans="1:7" ht="15.75">
      <c r="A16" s="21" t="s">
        <v>225</v>
      </c>
      <c r="B16" s="21" t="s">
        <v>48</v>
      </c>
      <c r="C16" s="25"/>
      <c r="D16" s="25">
        <v>-6.1900177001949999</v>
      </c>
      <c r="E16" s="25"/>
      <c r="F16" s="23" t="s">
        <v>211</v>
      </c>
      <c r="G16" s="21" t="s">
        <v>226</v>
      </c>
    </row>
    <row r="17" spans="1:7" ht="15.75">
      <c r="A17" s="21" t="s">
        <v>225</v>
      </c>
      <c r="B17" s="21" t="s">
        <v>45</v>
      </c>
      <c r="C17" s="25"/>
      <c r="D17" s="25">
        <v>-73.300033569340002</v>
      </c>
      <c r="E17" s="25"/>
      <c r="F17" s="23" t="s">
        <v>211</v>
      </c>
      <c r="G17" s="21" t="s">
        <v>226</v>
      </c>
    </row>
    <row r="18" spans="1:7" ht="15.75">
      <c r="A18" s="21" t="s">
        <v>227</v>
      </c>
      <c r="B18" s="21" t="s">
        <v>228</v>
      </c>
      <c r="C18" s="24">
        <v>135110.24</v>
      </c>
      <c r="D18" s="24">
        <v>135110.240600586</v>
      </c>
      <c r="E18" s="24">
        <f>D18-C18</f>
        <v>6.0058600502088666E-4</v>
      </c>
      <c r="F18" s="23" t="str">
        <f>IF(E18="","Pending",IF(ABS(E18)&lt;0.01,"Match","Investigate"))</f>
        <v>Match</v>
      </c>
      <c r="G18" s="21" t="s">
        <v>229</v>
      </c>
    </row>
    <row r="19" spans="1:7" ht="15.75">
      <c r="A19" s="21" t="s">
        <v>227</v>
      </c>
      <c r="B19" s="21" t="s">
        <v>230</v>
      </c>
      <c r="C19" s="24">
        <v>130436.82</v>
      </c>
      <c r="D19" s="24">
        <v>130436.82043457001</v>
      </c>
      <c r="E19" s="24">
        <f>D19-C19</f>
        <v>4.3456999992486089E-4</v>
      </c>
      <c r="F19" s="23" t="str">
        <f>IF(E19="","Pending",IF(ABS(E19)&lt;0.01,"Match","Investigate"))</f>
        <v>Match</v>
      </c>
      <c r="G19" s="21" t="s">
        <v>229</v>
      </c>
    </row>
    <row r="20" spans="1:7" ht="15" customHeight="1">
      <c r="A20" s="21" t="s">
        <v>227</v>
      </c>
      <c r="B20" s="21" t="s">
        <v>231</v>
      </c>
      <c r="C20" s="24">
        <v>105005.17</v>
      </c>
      <c r="D20" s="24">
        <v>105005.169677734</v>
      </c>
      <c r="E20" s="24">
        <f>D20-C20</f>
        <v>-3.2226600160356611E-4</v>
      </c>
      <c r="F20" s="23" t="str">
        <f>IF(E20="","Pending",IF(ABS(E20)&lt;0.01,"Match","Investigate"))</f>
        <v>Match</v>
      </c>
      <c r="G20" s="21" t="s">
        <v>229</v>
      </c>
    </row>
    <row r="21" spans="1:7" ht="15.75">
      <c r="A21" s="21" t="s">
        <v>227</v>
      </c>
      <c r="B21" s="21" t="s">
        <v>232</v>
      </c>
      <c r="C21" s="24">
        <v>96944.83</v>
      </c>
      <c r="D21" s="24">
        <v>96944.829956054993</v>
      </c>
      <c r="E21" s="24">
        <f>D21-C21</f>
        <v>-4.3945008656010032E-5</v>
      </c>
      <c r="F21" s="23" t="str">
        <f>IF(E21="","Pending",IF(ABS(E21)&lt;0.01,"Match","Investigate"))</f>
        <v>Match</v>
      </c>
      <c r="G21" s="2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START_HERE</vt:lpstr>
      <vt:lpstr>Raw_Production</vt:lpstr>
      <vt:lpstr>Pivot_Analysis</vt:lpstr>
      <vt:lpstr>Clean_Production.</vt:lpstr>
      <vt:lpstr>Cleaning_Log</vt:lpstr>
      <vt:lpstr>Validation_Log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Ndon Timothy</cp:lastModifiedBy>
  <dcterms:created xsi:type="dcterms:W3CDTF">2026-10-19T17:11:14Z</dcterms:created>
  <dcterms:modified xsi:type="dcterms:W3CDTF">2026-10-24T06:24:59Z</dcterms:modified>
</cp:coreProperties>
</file>